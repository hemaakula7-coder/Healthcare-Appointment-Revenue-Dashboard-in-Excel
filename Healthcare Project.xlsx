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9996a6d8e64a0342/Desktop/"/>
    </mc:Choice>
  </mc:AlternateContent>
  <xr:revisionPtr revIDLastSave="669" documentId="13_ncr:1_{CEA3ACDB-DA90-4DB1-9A4A-B9F548A122A2}" xr6:coauthVersionLast="47" xr6:coauthVersionMax="47" xr10:uidLastSave="{DF16DF15-7798-47C7-8592-19E12A5C0256}"/>
  <bookViews>
    <workbookView xWindow="-108" yWindow="-108" windowWidth="23256" windowHeight="12456" activeTab="2" xr2:uid="{D4BD6EC0-7DCB-4FA0-B139-2064714CC97C}"/>
  </bookViews>
  <sheets>
    <sheet name="Data" sheetId="1" r:id="rId1"/>
    <sheet name="Pivot table" sheetId="4" r:id="rId2"/>
    <sheet name="Dashboard" sheetId="5" r:id="rId3"/>
  </sheets>
  <definedNames>
    <definedName name="Slicer_Department">#N/A</definedName>
    <definedName name="Slicer_Doctor_Name">#N/A</definedName>
    <definedName name="Slicer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K2" i="1"/>
  <c r="L2" i="1" s="1"/>
  <c r="K3" i="1"/>
  <c r="L3" i="1" s="1"/>
  <c r="K4" i="1"/>
  <c r="L4" i="1" s="1"/>
  <c r="K5" i="1"/>
  <c r="L5" i="1" s="1"/>
  <c r="K6" i="1"/>
  <c r="L6" i="1" s="1"/>
  <c r="K7" i="1"/>
  <c r="L7" i="1" s="1"/>
  <c r="K8" i="1"/>
  <c r="L8" i="1" s="1"/>
  <c r="K9" i="1"/>
  <c r="L9" i="1" s="1"/>
  <c r="K10" i="1"/>
  <c r="L10" i="1" s="1"/>
  <c r="K11" i="1"/>
  <c r="L11" i="1" s="1"/>
  <c r="K12" i="1"/>
  <c r="L12" i="1" s="1"/>
  <c r="K13" i="1"/>
  <c r="L13" i="1" s="1"/>
  <c r="K14" i="1"/>
  <c r="L14" i="1" s="1"/>
  <c r="K15" i="1"/>
  <c r="L15" i="1" s="1"/>
  <c r="K16" i="1"/>
  <c r="L16" i="1" s="1"/>
  <c r="K17" i="1"/>
  <c r="L17" i="1" s="1"/>
  <c r="K18" i="1"/>
  <c r="L18" i="1" s="1"/>
  <c r="K19" i="1"/>
  <c r="L19" i="1" s="1"/>
  <c r="K20" i="1"/>
  <c r="L20" i="1" s="1"/>
  <c r="K21" i="1"/>
  <c r="L21" i="1" s="1"/>
  <c r="K22" i="1"/>
  <c r="L22" i="1" s="1"/>
  <c r="K23" i="1"/>
  <c r="L23" i="1" s="1"/>
  <c r="K24" i="1"/>
  <c r="L24" i="1" s="1"/>
  <c r="K25" i="1"/>
  <c r="L25" i="1" s="1"/>
  <c r="K26" i="1"/>
  <c r="L26" i="1" s="1"/>
  <c r="K27" i="1"/>
  <c r="L27" i="1" s="1"/>
  <c r="K28" i="1"/>
  <c r="L28" i="1" s="1"/>
  <c r="K29" i="1"/>
  <c r="L29" i="1" s="1"/>
  <c r="K30" i="1"/>
  <c r="L30" i="1" s="1"/>
  <c r="K31" i="1"/>
  <c r="L31" i="1" s="1"/>
  <c r="K32" i="1"/>
  <c r="L32" i="1" s="1"/>
  <c r="K33" i="1"/>
  <c r="L33" i="1" s="1"/>
  <c r="K34" i="1"/>
  <c r="L34" i="1" s="1"/>
  <c r="K35" i="1"/>
  <c r="L35" i="1" s="1"/>
  <c r="K36" i="1"/>
  <c r="L36" i="1" s="1"/>
  <c r="K37" i="1"/>
  <c r="L37" i="1" s="1"/>
  <c r="K38" i="1"/>
  <c r="L38" i="1" s="1"/>
  <c r="K39" i="1"/>
  <c r="L39" i="1" s="1"/>
  <c r="K40" i="1"/>
  <c r="L40" i="1" s="1"/>
  <c r="K41" i="1"/>
  <c r="L41" i="1" s="1"/>
  <c r="K42" i="1"/>
  <c r="L42" i="1" s="1"/>
  <c r="K43" i="1"/>
  <c r="L43" i="1" s="1"/>
  <c r="K44" i="1"/>
  <c r="L44" i="1" s="1"/>
  <c r="K45" i="1"/>
  <c r="L45" i="1" s="1"/>
  <c r="K46" i="1"/>
  <c r="L46" i="1" s="1"/>
  <c r="K47" i="1"/>
  <c r="L47" i="1" s="1"/>
  <c r="K48" i="1"/>
  <c r="L48" i="1" s="1"/>
  <c r="K49" i="1"/>
  <c r="L49" i="1" s="1"/>
  <c r="K50" i="1"/>
  <c r="L50" i="1" s="1"/>
  <c r="K51" i="1"/>
  <c r="L51" i="1" s="1"/>
  <c r="K52" i="1"/>
  <c r="L52" i="1" s="1"/>
  <c r="K53" i="1"/>
  <c r="L53" i="1" s="1"/>
  <c r="K54" i="1"/>
  <c r="L54" i="1" s="1"/>
  <c r="K55" i="1"/>
  <c r="L55" i="1" s="1"/>
  <c r="K56" i="1"/>
  <c r="L56" i="1" s="1"/>
  <c r="K57" i="1"/>
  <c r="L57" i="1" s="1"/>
  <c r="K58" i="1"/>
  <c r="L58" i="1" s="1"/>
  <c r="K59" i="1"/>
  <c r="L59" i="1" s="1"/>
  <c r="K60" i="1"/>
  <c r="L60" i="1" s="1"/>
  <c r="K61" i="1"/>
  <c r="L61" i="1" s="1"/>
  <c r="K62" i="1"/>
  <c r="L62" i="1" s="1"/>
  <c r="K63" i="1"/>
  <c r="L63" i="1" s="1"/>
  <c r="K64" i="1"/>
  <c r="L64" i="1" s="1"/>
  <c r="K65" i="1"/>
  <c r="L65" i="1" s="1"/>
  <c r="K66" i="1"/>
  <c r="L66" i="1" s="1"/>
  <c r="K67" i="1"/>
  <c r="L67" i="1" s="1"/>
  <c r="K68" i="1"/>
  <c r="L68" i="1" s="1"/>
  <c r="K69" i="1"/>
  <c r="L69" i="1" s="1"/>
  <c r="K70" i="1"/>
  <c r="L70" i="1" s="1"/>
  <c r="K71" i="1"/>
  <c r="L71" i="1" s="1"/>
  <c r="K72" i="1"/>
  <c r="L72" i="1" s="1"/>
  <c r="K73" i="1"/>
  <c r="L73" i="1" s="1"/>
  <c r="K74" i="1"/>
  <c r="L74" i="1" s="1"/>
  <c r="K75" i="1"/>
  <c r="L75" i="1" s="1"/>
  <c r="K76" i="1"/>
  <c r="L76" i="1" s="1"/>
  <c r="K77" i="1"/>
  <c r="L77" i="1" s="1"/>
  <c r="K78" i="1"/>
  <c r="L78" i="1" s="1"/>
  <c r="K79" i="1"/>
  <c r="L79" i="1" s="1"/>
  <c r="K80" i="1"/>
  <c r="L80" i="1" s="1"/>
  <c r="K81" i="1"/>
  <c r="L81" i="1" s="1"/>
  <c r="K82" i="1"/>
  <c r="L82" i="1" s="1"/>
  <c r="K83" i="1"/>
  <c r="L83" i="1" s="1"/>
  <c r="K84" i="1"/>
  <c r="L84" i="1" s="1"/>
  <c r="K85" i="1"/>
  <c r="L85" i="1" s="1"/>
  <c r="K86" i="1"/>
  <c r="L86" i="1" s="1"/>
  <c r="K87" i="1"/>
  <c r="L87" i="1" s="1"/>
  <c r="K88" i="1"/>
  <c r="L88" i="1" s="1"/>
  <c r="K89" i="1"/>
  <c r="L89" i="1" s="1"/>
  <c r="K90" i="1"/>
  <c r="L90" i="1" s="1"/>
  <c r="K91" i="1"/>
  <c r="L91" i="1" s="1"/>
  <c r="K92" i="1"/>
  <c r="L92" i="1" s="1"/>
  <c r="K93" i="1"/>
  <c r="L93" i="1" s="1"/>
  <c r="K94" i="1"/>
  <c r="L94" i="1" s="1"/>
  <c r="K95" i="1"/>
  <c r="L95" i="1" s="1"/>
  <c r="K96" i="1"/>
  <c r="L96" i="1" s="1"/>
  <c r="K97" i="1"/>
  <c r="L97" i="1" s="1"/>
  <c r="K98" i="1"/>
  <c r="L98" i="1" s="1"/>
  <c r="K99" i="1"/>
  <c r="L99" i="1" s="1"/>
  <c r="K100" i="1"/>
  <c r="L100" i="1" s="1"/>
  <c r="K101" i="1"/>
  <c r="L101" i="1" s="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J63" i="1" l="1"/>
  <c r="J2" i="1"/>
  <c r="J13" i="1"/>
  <c r="J24" i="1"/>
  <c r="J47" i="1"/>
  <c r="J34" i="1"/>
  <c r="J21" i="1"/>
  <c r="J8" i="1"/>
  <c r="J85" i="1"/>
  <c r="J37" i="1"/>
  <c r="J48" i="1"/>
  <c r="J95" i="1"/>
  <c r="J35" i="1"/>
  <c r="J70" i="1"/>
  <c r="J7" i="1"/>
  <c r="J73" i="1"/>
  <c r="J25" i="1"/>
  <c r="J96" i="1"/>
  <c r="J60" i="1"/>
  <c r="J12" i="1"/>
  <c r="J59" i="1"/>
  <c r="J11" i="1"/>
  <c r="J82" i="1"/>
  <c r="J22" i="1"/>
  <c r="J81" i="1"/>
  <c r="J45" i="1"/>
  <c r="J9" i="1"/>
  <c r="J68" i="1"/>
  <c r="J20" i="1"/>
  <c r="J79" i="1"/>
  <c r="J67" i="1"/>
  <c r="J43" i="1"/>
  <c r="J19" i="1"/>
  <c r="J90" i="1"/>
  <c r="J66" i="1"/>
  <c r="J42" i="1"/>
  <c r="J6" i="1"/>
  <c r="J101" i="1"/>
  <c r="J89" i="1"/>
  <c r="J77" i="1"/>
  <c r="J65" i="1"/>
  <c r="J53" i="1"/>
  <c r="J41" i="1"/>
  <c r="J29" i="1"/>
  <c r="J17" i="1"/>
  <c r="J5" i="1"/>
  <c r="J97" i="1"/>
  <c r="J49" i="1"/>
  <c r="J84" i="1"/>
  <c r="J36" i="1"/>
  <c r="J83" i="1"/>
  <c r="J23" i="1"/>
  <c r="J94" i="1"/>
  <c r="J46" i="1"/>
  <c r="J10" i="1"/>
  <c r="J69" i="1"/>
  <c r="J33" i="1"/>
  <c r="J80" i="1"/>
  <c r="J44" i="1"/>
  <c r="J32" i="1"/>
  <c r="J91" i="1"/>
  <c r="J55" i="1"/>
  <c r="J31" i="1"/>
  <c r="J78" i="1"/>
  <c r="J54" i="1"/>
  <c r="J30" i="1"/>
  <c r="J18" i="1"/>
  <c r="J100" i="1"/>
  <c r="J88" i="1"/>
  <c r="J76" i="1"/>
  <c r="J64" i="1"/>
  <c r="J52" i="1"/>
  <c r="J40" i="1"/>
  <c r="J28" i="1"/>
  <c r="J16" i="1"/>
  <c r="J4" i="1"/>
  <c r="J61" i="1"/>
  <c r="J72" i="1"/>
  <c r="J71" i="1"/>
  <c r="J58" i="1"/>
  <c r="J93" i="1"/>
  <c r="J57" i="1"/>
  <c r="J92" i="1"/>
  <c r="J56" i="1"/>
  <c r="J99" i="1"/>
  <c r="J87" i="1"/>
  <c r="J75" i="1"/>
  <c r="J51" i="1"/>
  <c r="J39" i="1"/>
  <c r="J27" i="1"/>
  <c r="J15" i="1"/>
  <c r="J3" i="1"/>
  <c r="J98" i="1"/>
  <c r="J86" i="1"/>
  <c r="J74" i="1"/>
  <c r="J62" i="1"/>
  <c r="J50" i="1"/>
  <c r="J38" i="1"/>
  <c r="J26" i="1"/>
  <c r="J14" i="1"/>
</calcChain>
</file>

<file path=xl/sharedStrings.xml><?xml version="1.0" encoding="utf-8"?>
<sst xmlns="http://schemas.openxmlformats.org/spreadsheetml/2006/main" count="650" uniqueCount="236">
  <si>
    <t>Appointment_ID</t>
  </si>
  <si>
    <t>Date</t>
  </si>
  <si>
    <t>Patient_ID</t>
  </si>
  <si>
    <t>Doctor_Name</t>
  </si>
  <si>
    <t>Department</t>
  </si>
  <si>
    <t>Appointment_Type</t>
  </si>
  <si>
    <t>Fee</t>
  </si>
  <si>
    <t>Status</t>
  </si>
  <si>
    <t>A001</t>
  </si>
  <si>
    <t>P001</t>
  </si>
  <si>
    <t>Dr. Rao</t>
  </si>
  <si>
    <t>Cardiology</t>
  </si>
  <si>
    <t>Consultation</t>
  </si>
  <si>
    <t>Completed</t>
  </si>
  <si>
    <t>A002</t>
  </si>
  <si>
    <t>P002</t>
  </si>
  <si>
    <t>Dr. Mehta</t>
  </si>
  <si>
    <t>Orthopedics</t>
  </si>
  <si>
    <t>Follow-up</t>
  </si>
  <si>
    <t>No Show</t>
  </si>
  <si>
    <t>A003</t>
  </si>
  <si>
    <t>P003</t>
  </si>
  <si>
    <t>Dr. Singh</t>
  </si>
  <si>
    <t>Neurology</t>
  </si>
  <si>
    <t>A004</t>
  </si>
  <si>
    <t>P004</t>
  </si>
  <si>
    <t>A005</t>
  </si>
  <si>
    <t>P005</t>
  </si>
  <si>
    <t>A006</t>
  </si>
  <si>
    <t>P006</t>
  </si>
  <si>
    <t>Dr. Sharma</t>
  </si>
  <si>
    <t>General Medicine</t>
  </si>
  <si>
    <t>A007</t>
  </si>
  <si>
    <t>P007</t>
  </si>
  <si>
    <t>Cancelled</t>
  </si>
  <si>
    <t>A008</t>
  </si>
  <si>
    <t>P008</t>
  </si>
  <si>
    <t>Surgery</t>
  </si>
  <si>
    <t>A009</t>
  </si>
  <si>
    <t>P009</t>
  </si>
  <si>
    <t>A010</t>
  </si>
  <si>
    <t>P010</t>
  </si>
  <si>
    <t>A011</t>
  </si>
  <si>
    <t>P011</t>
  </si>
  <si>
    <t>A012</t>
  </si>
  <si>
    <t>P012</t>
  </si>
  <si>
    <t>A013</t>
  </si>
  <si>
    <t>P013</t>
  </si>
  <si>
    <t>A014</t>
  </si>
  <si>
    <t>P014</t>
  </si>
  <si>
    <t>A015</t>
  </si>
  <si>
    <t>P015</t>
  </si>
  <si>
    <t>A016</t>
  </si>
  <si>
    <t>P016</t>
  </si>
  <si>
    <t>A017</t>
  </si>
  <si>
    <t>P017</t>
  </si>
  <si>
    <t>A018</t>
  </si>
  <si>
    <t>P018</t>
  </si>
  <si>
    <t>A019</t>
  </si>
  <si>
    <t>P019</t>
  </si>
  <si>
    <t>A020</t>
  </si>
  <si>
    <t>P020</t>
  </si>
  <si>
    <t>A021</t>
  </si>
  <si>
    <t>P021</t>
  </si>
  <si>
    <t>A022</t>
  </si>
  <si>
    <t>P022</t>
  </si>
  <si>
    <t>A023</t>
  </si>
  <si>
    <t>P023</t>
  </si>
  <si>
    <t>A024</t>
  </si>
  <si>
    <t>P024</t>
  </si>
  <si>
    <t>A025</t>
  </si>
  <si>
    <t>P025</t>
  </si>
  <si>
    <t>A026</t>
  </si>
  <si>
    <t>P026</t>
  </si>
  <si>
    <t>A027</t>
  </si>
  <si>
    <t>P027</t>
  </si>
  <si>
    <t>A028</t>
  </si>
  <si>
    <t>P028</t>
  </si>
  <si>
    <t>A029</t>
  </si>
  <si>
    <t>P029</t>
  </si>
  <si>
    <t>A030</t>
  </si>
  <si>
    <t>P030</t>
  </si>
  <si>
    <t>A031</t>
  </si>
  <si>
    <t>P031</t>
  </si>
  <si>
    <t>A032</t>
  </si>
  <si>
    <t>P032</t>
  </si>
  <si>
    <t>A033</t>
  </si>
  <si>
    <t>P033</t>
  </si>
  <si>
    <t>A034</t>
  </si>
  <si>
    <t>P034</t>
  </si>
  <si>
    <t>A035</t>
  </si>
  <si>
    <t>P035</t>
  </si>
  <si>
    <t>A036</t>
  </si>
  <si>
    <t>P036</t>
  </si>
  <si>
    <t>A037</t>
  </si>
  <si>
    <t>P037</t>
  </si>
  <si>
    <t>A038</t>
  </si>
  <si>
    <t>P038</t>
  </si>
  <si>
    <t>A039</t>
  </si>
  <si>
    <t>P039</t>
  </si>
  <si>
    <t>A040</t>
  </si>
  <si>
    <t>P040</t>
  </si>
  <si>
    <t>A041</t>
  </si>
  <si>
    <t>P041</t>
  </si>
  <si>
    <t>A042</t>
  </si>
  <si>
    <t>P042</t>
  </si>
  <si>
    <t>A043</t>
  </si>
  <si>
    <t>P043</t>
  </si>
  <si>
    <t>A044</t>
  </si>
  <si>
    <t>P044</t>
  </si>
  <si>
    <t>A045</t>
  </si>
  <si>
    <t>P045</t>
  </si>
  <si>
    <t>A046</t>
  </si>
  <si>
    <t>P046</t>
  </si>
  <si>
    <t>A047</t>
  </si>
  <si>
    <t>P047</t>
  </si>
  <si>
    <t>A048</t>
  </si>
  <si>
    <t>P048</t>
  </si>
  <si>
    <t>A049</t>
  </si>
  <si>
    <t>P049</t>
  </si>
  <si>
    <t>A050</t>
  </si>
  <si>
    <t>P050</t>
  </si>
  <si>
    <t>A051</t>
  </si>
  <si>
    <t>P051</t>
  </si>
  <si>
    <t>A052</t>
  </si>
  <si>
    <t>P052</t>
  </si>
  <si>
    <t>A053</t>
  </si>
  <si>
    <t>P053</t>
  </si>
  <si>
    <t>A054</t>
  </si>
  <si>
    <t>P054</t>
  </si>
  <si>
    <t>A055</t>
  </si>
  <si>
    <t>P055</t>
  </si>
  <si>
    <t>A056</t>
  </si>
  <si>
    <t>P056</t>
  </si>
  <si>
    <t>A057</t>
  </si>
  <si>
    <t>P057</t>
  </si>
  <si>
    <t>A058</t>
  </si>
  <si>
    <t>P058</t>
  </si>
  <si>
    <t>A059</t>
  </si>
  <si>
    <t>P059</t>
  </si>
  <si>
    <t>A060</t>
  </si>
  <si>
    <t>P060</t>
  </si>
  <si>
    <t>A061</t>
  </si>
  <si>
    <t>P061</t>
  </si>
  <si>
    <t>A062</t>
  </si>
  <si>
    <t>P062</t>
  </si>
  <si>
    <t>A063</t>
  </si>
  <si>
    <t>P063</t>
  </si>
  <si>
    <t>A064</t>
  </si>
  <si>
    <t>P064</t>
  </si>
  <si>
    <t>A065</t>
  </si>
  <si>
    <t>P065</t>
  </si>
  <si>
    <t>A066</t>
  </si>
  <si>
    <t>P066</t>
  </si>
  <si>
    <t>A067</t>
  </si>
  <si>
    <t>P067</t>
  </si>
  <si>
    <t>A068</t>
  </si>
  <si>
    <t>P068</t>
  </si>
  <si>
    <t>A069</t>
  </si>
  <si>
    <t>P069</t>
  </si>
  <si>
    <t>A070</t>
  </si>
  <si>
    <t>P070</t>
  </si>
  <si>
    <t>A071</t>
  </si>
  <si>
    <t>P071</t>
  </si>
  <si>
    <t>A072</t>
  </si>
  <si>
    <t>P072</t>
  </si>
  <si>
    <t>A073</t>
  </si>
  <si>
    <t>P073</t>
  </si>
  <si>
    <t>A074</t>
  </si>
  <si>
    <t>P074</t>
  </si>
  <si>
    <t>A075</t>
  </si>
  <si>
    <t>P075</t>
  </si>
  <si>
    <t>A076</t>
  </si>
  <si>
    <t>P076</t>
  </si>
  <si>
    <t>A077</t>
  </si>
  <si>
    <t>P077</t>
  </si>
  <si>
    <t>A078</t>
  </si>
  <si>
    <t>P078</t>
  </si>
  <si>
    <t>A079</t>
  </si>
  <si>
    <t>P079</t>
  </si>
  <si>
    <t>A080</t>
  </si>
  <si>
    <t>P080</t>
  </si>
  <si>
    <t>A081</t>
  </si>
  <si>
    <t>P081</t>
  </si>
  <si>
    <t>A082</t>
  </si>
  <si>
    <t>P082</t>
  </si>
  <si>
    <t>A083</t>
  </si>
  <si>
    <t>P083</t>
  </si>
  <si>
    <t>A084</t>
  </si>
  <si>
    <t>P084</t>
  </si>
  <si>
    <t>A085</t>
  </si>
  <si>
    <t>P085</t>
  </si>
  <si>
    <t>A086</t>
  </si>
  <si>
    <t>P086</t>
  </si>
  <si>
    <t>A087</t>
  </si>
  <si>
    <t>P087</t>
  </si>
  <si>
    <t>A088</t>
  </si>
  <si>
    <t>P088</t>
  </si>
  <si>
    <t>A089</t>
  </si>
  <si>
    <t>P089</t>
  </si>
  <si>
    <t>A090</t>
  </si>
  <si>
    <t>P090</t>
  </si>
  <si>
    <t>A091</t>
  </si>
  <si>
    <t>P091</t>
  </si>
  <si>
    <t>A092</t>
  </si>
  <si>
    <t>P092</t>
  </si>
  <si>
    <t>A093</t>
  </si>
  <si>
    <t>P093</t>
  </si>
  <si>
    <t>A094</t>
  </si>
  <si>
    <t>P094</t>
  </si>
  <si>
    <t>A095</t>
  </si>
  <si>
    <t>P095</t>
  </si>
  <si>
    <t>A096</t>
  </si>
  <si>
    <t>P096</t>
  </si>
  <si>
    <t>A097</t>
  </si>
  <si>
    <t>P097</t>
  </si>
  <si>
    <t>A098</t>
  </si>
  <si>
    <t>P098</t>
  </si>
  <si>
    <t>A099</t>
  </si>
  <si>
    <t>P099</t>
  </si>
  <si>
    <t>A100</t>
  </si>
  <si>
    <t>P100</t>
  </si>
  <si>
    <t>Row Labels</t>
  </si>
  <si>
    <t>Grand Total</t>
  </si>
  <si>
    <t>Revenue</t>
  </si>
  <si>
    <t>sum of Revenue</t>
  </si>
  <si>
    <t>Dept wise_Revenue</t>
  </si>
  <si>
    <t>Count of Appointment_ID</t>
  </si>
  <si>
    <t>Column Labels</t>
  </si>
  <si>
    <t>Total Appointments</t>
  </si>
  <si>
    <t>No Show rate</t>
  </si>
  <si>
    <t>Num_No shows</t>
  </si>
  <si>
    <t>No Show_Flag Rate</t>
  </si>
  <si>
    <t>HEALTHCARE APPOINTMENT &amp; REVENUE DASHBOARD</t>
  </si>
  <si>
    <t>Sum of Revenue2</t>
  </si>
  <si>
    <t>“Cardiology contributes highest revenue driven by surgeries.”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</si>
</sst>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5" x14ac:knownFonts="1">
    <font>
      <sz val="11"/>
      <color theme="1"/>
      <name val="Calibri"/>
      <family val="2"/>
      <scheme val="minor"/>
    </font>
    <font>
      <sz val="11"/>
      <color theme="1"/>
      <name val="Calibri"/>
      <family val="2"/>
      <scheme val="minor"/>
    </font>
    <font>
      <sz val="8"/>
      <name val="Calibri"/>
      <family val="2"/>
      <scheme val="minor"/>
    </font>
    <font>
      <b/>
      <sz val="24"/>
      <color theme="9"/>
      <name val="Calibri"/>
      <family val="2"/>
      <scheme val="minor"/>
    </font>
    <font>
      <b/>
      <sz val="18"/>
      <color theme="5"/>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applyAlignment="1">
      <alignment horizontal="center" vertical="center"/>
    </xf>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4" fontId="0" fillId="0" borderId="0" xfId="0" applyNumberFormat="1" applyAlignment="1">
      <alignment horizontal="center" vertical="center"/>
    </xf>
    <xf numFmtId="165" fontId="0" fillId="0" borderId="0" xfId="0" applyNumberFormat="1"/>
    <xf numFmtId="14" fontId="0" fillId="0" borderId="0" xfId="0" applyNumberFormat="1" applyAlignment="1">
      <alignment horizontal="left"/>
    </xf>
    <xf numFmtId="9" fontId="0" fillId="0" borderId="0" xfId="1" applyFont="1"/>
    <xf numFmtId="0" fontId="3" fillId="0" borderId="0" xfId="0" applyFont="1" applyAlignment="1">
      <alignment horizontal="center"/>
    </xf>
    <xf numFmtId="0" fontId="0" fillId="0" borderId="0" xfId="0" applyAlignment="1">
      <alignment horizontal="center"/>
    </xf>
    <xf numFmtId="0" fontId="3" fillId="0" borderId="0" xfId="0" applyFont="1" applyAlignment="1">
      <alignment horizontal="center" vertical="center"/>
    </xf>
    <xf numFmtId="0" fontId="4" fillId="0" borderId="0" xfId="0" applyFont="1" applyAlignment="1">
      <alignment horizontal="center"/>
    </xf>
  </cellXfs>
  <cellStyles count="2">
    <cellStyle name="Normal" xfId="0" builtinId="0"/>
    <cellStyle name="Percent" xfId="1" builtinId="5"/>
  </cellStyles>
  <dxfs count="13">
    <dxf>
      <numFmt numFmtId="165" formatCode="&quot;₹&quot;\ #,##0"/>
    </dxf>
    <dxf>
      <numFmt numFmtId="0" formatCode="General"/>
    </dxf>
    <dxf>
      <numFmt numFmtId="0" formatCode="General"/>
    </dxf>
    <dxf>
      <numFmt numFmtId="164" formatCode="&quot;₹&quot;\ #,##0.00"/>
    </dxf>
    <dxf>
      <numFmt numFmtId="0" formatCode="General"/>
    </dxf>
    <dxf>
      <numFmt numFmtId="0" formatCode="General"/>
    </dxf>
    <dxf>
      <numFmt numFmtId="0" formatCode="General"/>
    </dxf>
    <dxf>
      <numFmt numFmtId="164" formatCode="&quot;₹&quot;\ #,##0.00"/>
    </dxf>
    <dxf>
      <numFmt numFmtId="164" formatCode="&quot;₹&quot;\ #,##0.00"/>
    </dxf>
    <dxf>
      <numFmt numFmtId="0" formatCode="General"/>
    </dxf>
    <dxf>
      <numFmt numFmtId="19" formatCode="dd/mm/yyyy"/>
    </dxf>
    <dxf>
      <numFmt numFmtId="19" formatCode="dd/mm/yyyy"/>
    </dxf>
    <dxf>
      <alignment horizontal="center" vertical="center" textRotation="0" wrapText="0" indent="0" justifyLastLine="0" shrinkToFit="0" readingOrder="0"/>
    </dxf>
  </dxfs>
  <tableStyles count="0" defaultTableStyle="TableStyleMedium2" defaultPivotStyle="PivotStyleLight16"/>
  <colors>
    <mruColors>
      <color rgb="FF66FF66"/>
      <color rgb="FF3A2B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Project.xlsx]Pivot table!PivotTable3</c:name>
    <c:fmtId val="4"/>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79179176343965"/>
          <c:y val="0.45674083091587236"/>
          <c:w val="0.69691556106856511"/>
          <c:h val="0.37898924229866005"/>
        </c:manualLayout>
      </c:layout>
      <c:barChart>
        <c:barDir val="col"/>
        <c:grouping val="clustered"/>
        <c:varyColors val="0"/>
        <c:ser>
          <c:idx val="1"/>
          <c:order val="0"/>
          <c:tx>
            <c:strRef>
              <c:f>'Pivot table'!$C$4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table'!$B$5:$B$9</c:f>
              <c:strCache>
                <c:ptCount val="4"/>
                <c:pt idx="0">
                  <c:v>Cardiology</c:v>
                </c:pt>
                <c:pt idx="1">
                  <c:v>General Medicine</c:v>
                </c:pt>
                <c:pt idx="2">
                  <c:v>Neurology</c:v>
                </c:pt>
                <c:pt idx="3">
                  <c:v>Orthopedics</c:v>
                </c:pt>
              </c:strCache>
            </c:strRef>
          </c:cat>
          <c:val>
            <c:numRef>
              <c:f>'Pivot table'!$C$5:$C$9</c:f>
              <c:numCache>
                <c:formatCode>"₹"\ #,##0</c:formatCode>
                <c:ptCount val="4"/>
                <c:pt idx="0">
                  <c:v>168300</c:v>
                </c:pt>
                <c:pt idx="1">
                  <c:v>9200</c:v>
                </c:pt>
                <c:pt idx="2">
                  <c:v>149000</c:v>
                </c:pt>
                <c:pt idx="3">
                  <c:v>106100</c:v>
                </c:pt>
              </c:numCache>
            </c:numRef>
          </c:val>
          <c:extLst>
            <c:ext xmlns:c16="http://schemas.microsoft.com/office/drawing/2014/chart" uri="{C3380CC4-5D6E-409C-BE32-E72D297353CC}">
              <c16:uniqueId val="{00000003-8376-41B8-ADB2-2A3B872F89C0}"/>
            </c:ext>
          </c:extLst>
        </c:ser>
        <c:dLbls>
          <c:dLblPos val="outEnd"/>
          <c:showLegendKey val="0"/>
          <c:showVal val="1"/>
          <c:showCatName val="0"/>
          <c:showSerName val="0"/>
          <c:showPercent val="0"/>
          <c:showBubbleSize val="0"/>
        </c:dLbls>
        <c:gapWidth val="100"/>
        <c:overlap val="-24"/>
        <c:axId val="1994659071"/>
        <c:axId val="1994655231"/>
      </c:barChart>
      <c:catAx>
        <c:axId val="19946590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4655231"/>
        <c:crosses val="autoZero"/>
        <c:auto val="1"/>
        <c:lblAlgn val="ctr"/>
        <c:lblOffset val="100"/>
        <c:noMultiLvlLbl val="0"/>
      </c:catAx>
      <c:valAx>
        <c:axId val="1994655231"/>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465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Project.xlsx]Pivot table!PivotTable4</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3560392215124052"/>
          <c:y val="0.20283178888353243"/>
          <c:w val="0.45151245030906301"/>
          <c:h val="0.69400342814291072"/>
        </c:manualLayout>
      </c:layout>
      <c:bar3DChart>
        <c:barDir val="bar"/>
        <c:grouping val="clustered"/>
        <c:varyColors val="0"/>
        <c:ser>
          <c:idx val="0"/>
          <c:order val="0"/>
          <c:tx>
            <c:strRef>
              <c:f>'Pivot table'!$H$4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table'!$G$5:$G$9</c:f>
              <c:strCache>
                <c:ptCount val="4"/>
                <c:pt idx="0">
                  <c:v>Dr. Mehta</c:v>
                </c:pt>
                <c:pt idx="1">
                  <c:v>Dr. Rao</c:v>
                </c:pt>
                <c:pt idx="2">
                  <c:v>Dr. Sharma</c:v>
                </c:pt>
                <c:pt idx="3">
                  <c:v>Dr. Singh</c:v>
                </c:pt>
              </c:strCache>
            </c:strRef>
          </c:cat>
          <c:val>
            <c:numRef>
              <c:f>'Pivot table'!$H$5:$H$9</c:f>
              <c:numCache>
                <c:formatCode>General</c:formatCode>
                <c:ptCount val="4"/>
                <c:pt idx="0">
                  <c:v>25</c:v>
                </c:pt>
                <c:pt idx="1">
                  <c:v>26</c:v>
                </c:pt>
                <c:pt idx="2">
                  <c:v>24</c:v>
                </c:pt>
                <c:pt idx="3">
                  <c:v>25</c:v>
                </c:pt>
              </c:numCache>
            </c:numRef>
          </c:val>
          <c:extLst>
            <c:ext xmlns:c16="http://schemas.microsoft.com/office/drawing/2014/chart" uri="{C3380CC4-5D6E-409C-BE32-E72D297353CC}">
              <c16:uniqueId val="{00000000-1DA5-4B4D-A48C-A117290568F5}"/>
            </c:ext>
          </c:extLst>
        </c:ser>
        <c:dLbls>
          <c:showLegendKey val="0"/>
          <c:showVal val="1"/>
          <c:showCatName val="0"/>
          <c:showSerName val="0"/>
          <c:showPercent val="0"/>
          <c:showBubbleSize val="0"/>
        </c:dLbls>
        <c:gapWidth val="150"/>
        <c:shape val="box"/>
        <c:axId val="1904459391"/>
        <c:axId val="1904465631"/>
        <c:axId val="0"/>
      </c:bar3DChart>
      <c:catAx>
        <c:axId val="1904459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4465631"/>
        <c:crosses val="autoZero"/>
        <c:auto val="1"/>
        <c:lblAlgn val="ctr"/>
        <c:lblOffset val="100"/>
        <c:noMultiLvlLbl val="0"/>
      </c:catAx>
      <c:valAx>
        <c:axId val="1904465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445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Project.xlsx]Pivot table!PivotTable7</c:name>
    <c:fmtId val="7"/>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9202634864816656"/>
          <c:y val="0.32225474656577019"/>
          <c:w val="0.62364421680299675"/>
          <c:h val="0.53876717114906092"/>
        </c:manualLayout>
      </c:layout>
      <c:barChart>
        <c:barDir val="col"/>
        <c:grouping val="clustered"/>
        <c:varyColors val="0"/>
        <c:ser>
          <c:idx val="0"/>
          <c:order val="0"/>
          <c:tx>
            <c:strRef>
              <c:f>'Pivot table'!$J$27</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E510-4DEF-A7B2-97F8A17B5A18}"/>
              </c:ext>
            </c:extLst>
          </c:dPt>
          <c:dPt>
            <c:idx val="1"/>
            <c:invertIfNegative val="0"/>
            <c:bubble3D val="0"/>
            <c:extLst>
              <c:ext xmlns:c16="http://schemas.microsoft.com/office/drawing/2014/chart" uri="{C3380CC4-5D6E-409C-BE32-E72D297353CC}">
                <c16:uniqueId val="{00000003-E510-4DEF-A7B2-97F8A17B5A18}"/>
              </c:ext>
            </c:extLst>
          </c:dPt>
          <c:dPt>
            <c:idx val="2"/>
            <c:invertIfNegative val="0"/>
            <c:bubble3D val="0"/>
            <c:extLst>
              <c:ext xmlns:c16="http://schemas.microsoft.com/office/drawing/2014/chart" uri="{C3380CC4-5D6E-409C-BE32-E72D297353CC}">
                <c16:uniqueId val="{00000005-E510-4DEF-A7B2-97F8A17B5A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table'!$I$28:$I$31</c:f>
              <c:strCache>
                <c:ptCount val="3"/>
                <c:pt idx="0">
                  <c:v>Cancelled</c:v>
                </c:pt>
                <c:pt idx="1">
                  <c:v>Completed</c:v>
                </c:pt>
                <c:pt idx="2">
                  <c:v>No Show</c:v>
                </c:pt>
              </c:strCache>
            </c:strRef>
          </c:cat>
          <c:val>
            <c:numRef>
              <c:f>'Pivot table'!$J$28:$J$31</c:f>
              <c:numCache>
                <c:formatCode>General</c:formatCode>
                <c:ptCount val="3"/>
                <c:pt idx="0">
                  <c:v>5</c:v>
                </c:pt>
                <c:pt idx="1">
                  <c:v>86</c:v>
                </c:pt>
                <c:pt idx="2">
                  <c:v>9</c:v>
                </c:pt>
              </c:numCache>
            </c:numRef>
          </c:val>
          <c:extLst>
            <c:ext xmlns:c16="http://schemas.microsoft.com/office/drawing/2014/chart" uri="{C3380CC4-5D6E-409C-BE32-E72D297353CC}">
              <c16:uniqueId val="{00000006-E510-4DEF-A7B2-97F8A17B5A18}"/>
            </c:ext>
          </c:extLst>
        </c:ser>
        <c:dLbls>
          <c:showLegendKey val="0"/>
          <c:showVal val="0"/>
          <c:showCatName val="0"/>
          <c:showSerName val="0"/>
          <c:showPercent val="0"/>
          <c:showBubbleSize val="0"/>
        </c:dLbls>
        <c:gapWidth val="100"/>
        <c:overlap val="-24"/>
        <c:axId val="2047122799"/>
        <c:axId val="2047123759"/>
      </c:barChart>
      <c:catAx>
        <c:axId val="20471227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7123759"/>
        <c:crosses val="autoZero"/>
        <c:auto val="1"/>
        <c:lblAlgn val="ctr"/>
        <c:lblOffset val="100"/>
        <c:noMultiLvlLbl val="0"/>
      </c:catAx>
      <c:valAx>
        <c:axId val="2047123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712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Project.xlsx]Pivot table!PivotTable6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459584170475794E-2"/>
          <c:y val="0.1851957133517155"/>
          <c:w val="0.8559464748987301"/>
          <c:h val="0.39692335389484257"/>
        </c:manualLayout>
      </c:layout>
      <c:lineChart>
        <c:grouping val="standard"/>
        <c:varyColors val="0"/>
        <c:ser>
          <c:idx val="0"/>
          <c:order val="0"/>
          <c:tx>
            <c:strRef>
              <c:f>'Pivot table'!$C$24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table'!$B$25:$B$51</c:f>
              <c:strCache>
                <c:ptCount val="26"/>
                <c:pt idx="0">
                  <c:v>01-01-2025</c:v>
                </c:pt>
                <c:pt idx="1">
                  <c:v>02-01-2025</c:v>
                </c:pt>
                <c:pt idx="2">
                  <c:v>03-01-2025</c:v>
                </c:pt>
                <c:pt idx="3">
                  <c:v>04-01-2025</c:v>
                </c:pt>
                <c:pt idx="4">
                  <c:v>05-01-2025</c:v>
                </c:pt>
                <c:pt idx="5">
                  <c:v>06-01-2025</c:v>
                </c:pt>
                <c:pt idx="6">
                  <c:v>07-01-2025</c:v>
                </c:pt>
                <c:pt idx="7">
                  <c:v>08-01-2025</c:v>
                </c:pt>
                <c:pt idx="8">
                  <c:v>09-01-2025</c:v>
                </c:pt>
                <c:pt idx="9">
                  <c:v>10-01-2025</c:v>
                </c:pt>
                <c:pt idx="10">
                  <c:v>11-01-2025</c:v>
                </c:pt>
                <c:pt idx="11">
                  <c:v>12-01-2025</c:v>
                </c:pt>
                <c:pt idx="12">
                  <c:v>13-01-2025</c:v>
                </c:pt>
                <c:pt idx="13">
                  <c:v>14-01-2025</c:v>
                </c:pt>
                <c:pt idx="14">
                  <c:v>15-01-2025</c:v>
                </c:pt>
                <c:pt idx="15">
                  <c:v>16-01-2025</c:v>
                </c:pt>
                <c:pt idx="16">
                  <c:v>17-01-2025</c:v>
                </c:pt>
                <c:pt idx="17">
                  <c:v>18-01-2025</c:v>
                </c:pt>
                <c:pt idx="18">
                  <c:v>19-01-2025</c:v>
                </c:pt>
                <c:pt idx="19">
                  <c:v>20-01-2025</c:v>
                </c:pt>
                <c:pt idx="20">
                  <c:v>21-01-2025</c:v>
                </c:pt>
                <c:pt idx="21">
                  <c:v>22-01-2025</c:v>
                </c:pt>
                <c:pt idx="22">
                  <c:v>23-01-2025</c:v>
                </c:pt>
                <c:pt idx="23">
                  <c:v>24-01-2025</c:v>
                </c:pt>
                <c:pt idx="24">
                  <c:v>25-01-2025</c:v>
                </c:pt>
                <c:pt idx="25">
                  <c:v>26-01-2025</c:v>
                </c:pt>
              </c:strCache>
            </c:strRef>
          </c:cat>
          <c:val>
            <c:numRef>
              <c:f>'Pivot table'!$C$25:$C$51</c:f>
              <c:numCache>
                <c:formatCode>General</c:formatCode>
                <c:ptCount val="26"/>
                <c:pt idx="0">
                  <c:v>1800</c:v>
                </c:pt>
                <c:pt idx="1">
                  <c:v>1600</c:v>
                </c:pt>
                <c:pt idx="2">
                  <c:v>35300</c:v>
                </c:pt>
                <c:pt idx="3">
                  <c:v>2000</c:v>
                </c:pt>
                <c:pt idx="4">
                  <c:v>19100</c:v>
                </c:pt>
                <c:pt idx="5">
                  <c:v>2100</c:v>
                </c:pt>
                <c:pt idx="6">
                  <c:v>23600</c:v>
                </c:pt>
                <c:pt idx="7">
                  <c:v>17100</c:v>
                </c:pt>
                <c:pt idx="8">
                  <c:v>20600</c:v>
                </c:pt>
                <c:pt idx="9">
                  <c:v>1800</c:v>
                </c:pt>
                <c:pt idx="10">
                  <c:v>22300</c:v>
                </c:pt>
                <c:pt idx="11">
                  <c:v>21800</c:v>
                </c:pt>
                <c:pt idx="12">
                  <c:v>16900</c:v>
                </c:pt>
                <c:pt idx="13">
                  <c:v>2400</c:v>
                </c:pt>
                <c:pt idx="14">
                  <c:v>24000</c:v>
                </c:pt>
                <c:pt idx="15">
                  <c:v>20100</c:v>
                </c:pt>
                <c:pt idx="16">
                  <c:v>18700</c:v>
                </c:pt>
                <c:pt idx="17">
                  <c:v>24000</c:v>
                </c:pt>
                <c:pt idx="18">
                  <c:v>20900</c:v>
                </c:pt>
                <c:pt idx="19">
                  <c:v>1800</c:v>
                </c:pt>
                <c:pt idx="20">
                  <c:v>42000</c:v>
                </c:pt>
                <c:pt idx="21">
                  <c:v>1900</c:v>
                </c:pt>
                <c:pt idx="22">
                  <c:v>22400</c:v>
                </c:pt>
                <c:pt idx="23">
                  <c:v>19800</c:v>
                </c:pt>
                <c:pt idx="24">
                  <c:v>26600</c:v>
                </c:pt>
                <c:pt idx="25">
                  <c:v>22000</c:v>
                </c:pt>
              </c:numCache>
            </c:numRef>
          </c:val>
          <c:smooth val="0"/>
          <c:extLst>
            <c:ext xmlns:c16="http://schemas.microsoft.com/office/drawing/2014/chart" uri="{C3380CC4-5D6E-409C-BE32-E72D297353CC}">
              <c16:uniqueId val="{00000000-9CF0-4D58-8D00-C6D883036069}"/>
            </c:ext>
          </c:extLst>
        </c:ser>
        <c:dLbls>
          <c:dLblPos val="t"/>
          <c:showLegendKey val="0"/>
          <c:showVal val="1"/>
          <c:showCatName val="0"/>
          <c:showSerName val="0"/>
          <c:showPercent val="0"/>
          <c:showBubbleSize val="0"/>
        </c:dLbls>
        <c:upDownBars>
          <c:gapWidth val="315"/>
          <c:upBars>
            <c:spPr>
              <a:solidFill>
                <a:schemeClr val="lt1">
                  <a:lumMod val="85000"/>
                </a:schemeClr>
              </a:solidFill>
              <a:ln w="9525">
                <a:solidFill>
                  <a:schemeClr val="dk1">
                    <a:lumMod val="50000"/>
                  </a:schemeClr>
                </a:solidFill>
                <a:round/>
              </a:ln>
              <a:effectLst/>
            </c:spPr>
          </c:upBars>
          <c:downBars>
            <c:spPr>
              <a:solidFill>
                <a:schemeClr val="dk1">
                  <a:lumMod val="50000"/>
                  <a:lumOff val="50000"/>
                </a:schemeClr>
              </a:solidFill>
              <a:ln w="9525">
                <a:solidFill>
                  <a:schemeClr val="dk1">
                    <a:lumMod val="75000"/>
                  </a:schemeClr>
                </a:solidFill>
                <a:round/>
              </a:ln>
              <a:effectLst/>
            </c:spPr>
          </c:downBars>
        </c:upDownBars>
        <c:marker val="1"/>
        <c:smooth val="0"/>
        <c:axId val="151227119"/>
        <c:axId val="151219919"/>
      </c:lineChart>
      <c:catAx>
        <c:axId val="151227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1219919"/>
        <c:crosses val="autoZero"/>
        <c:auto val="1"/>
        <c:lblAlgn val="ctr"/>
        <c:lblOffset val="100"/>
        <c:noMultiLvlLbl val="0"/>
      </c:catAx>
      <c:valAx>
        <c:axId val="151219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1227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236220</xdr:colOff>
      <xdr:row>4</xdr:row>
      <xdr:rowOff>22860</xdr:rowOff>
    </xdr:from>
    <xdr:to>
      <xdr:col>12</xdr:col>
      <xdr:colOff>403860</xdr:colOff>
      <xdr:row>7</xdr:row>
      <xdr:rowOff>91440</xdr:rowOff>
    </xdr:to>
    <xdr:sp macro="" textlink="">
      <xdr:nvSpPr>
        <xdr:cNvPr id="2" name="Rectangle 1">
          <a:extLst>
            <a:ext uri="{FF2B5EF4-FFF2-40B4-BE49-F238E27FC236}">
              <a16:creationId xmlns:a16="http://schemas.microsoft.com/office/drawing/2014/main" id="{43F4D28D-5F44-3B22-69B4-C95901B9BFCA}"/>
            </a:ext>
          </a:extLst>
        </xdr:cNvPr>
        <xdr:cNvSpPr/>
      </xdr:nvSpPr>
      <xdr:spPr>
        <a:xfrm>
          <a:off x="5722620" y="754380"/>
          <a:ext cx="2004060" cy="617220"/>
        </a:xfrm>
        <a:prstGeom prst="rect">
          <a:avLst/>
        </a:prstGeom>
        <a:solidFill>
          <a:srgbClr val="3A2B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66FF66"/>
              </a:solidFill>
            </a:rPr>
            <a:t>Total</a:t>
          </a:r>
          <a:r>
            <a:rPr lang="en-IN" sz="1600" b="1" baseline="0">
              <a:solidFill>
                <a:srgbClr val="66FF66"/>
              </a:solidFill>
            </a:rPr>
            <a:t> Revenue</a:t>
          </a:r>
        </a:p>
        <a:p>
          <a:pPr algn="ctr"/>
          <a:r>
            <a:rPr lang="en-IN" sz="1600" b="1" baseline="0">
              <a:solidFill>
                <a:srgbClr val="66FF66"/>
              </a:solidFill>
            </a:rPr>
            <a:t>4,32,600</a:t>
          </a:r>
        </a:p>
        <a:p>
          <a:pPr algn="l"/>
          <a:r>
            <a:rPr lang="en-IN" sz="1600" b="1" baseline="0">
              <a:solidFill>
                <a:schemeClr val="tx1"/>
              </a:solidFill>
            </a:rPr>
            <a:t>  </a:t>
          </a:r>
          <a:endParaRPr lang="en-IN" sz="1600" b="1">
            <a:solidFill>
              <a:schemeClr val="tx1"/>
            </a:solidFill>
          </a:endParaRPr>
        </a:p>
      </xdr:txBody>
    </xdr:sp>
    <xdr:clientData/>
  </xdr:twoCellAnchor>
  <xdr:twoCellAnchor>
    <xdr:from>
      <xdr:col>8</xdr:col>
      <xdr:colOff>434340</xdr:colOff>
      <xdr:row>8</xdr:row>
      <xdr:rowOff>167640</xdr:rowOff>
    </xdr:from>
    <xdr:to>
      <xdr:col>15</xdr:col>
      <xdr:colOff>601980</xdr:colOff>
      <xdr:row>21</xdr:row>
      <xdr:rowOff>106680</xdr:rowOff>
    </xdr:to>
    <xdr:graphicFrame macro="">
      <xdr:nvGraphicFramePr>
        <xdr:cNvPr id="7" name="Chart 6">
          <a:extLst>
            <a:ext uri="{FF2B5EF4-FFF2-40B4-BE49-F238E27FC236}">
              <a16:creationId xmlns:a16="http://schemas.microsoft.com/office/drawing/2014/main" id="{67FE440E-6ED2-DA9F-2B32-6194897F3A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129540</xdr:colOff>
      <xdr:row>9</xdr:row>
      <xdr:rowOff>22860</xdr:rowOff>
    </xdr:from>
    <xdr:to>
      <xdr:col>23</xdr:col>
      <xdr:colOff>304800</xdr:colOff>
      <xdr:row>21</xdr:row>
      <xdr:rowOff>114300</xdr:rowOff>
    </xdr:to>
    <xdr:graphicFrame macro="">
      <xdr:nvGraphicFramePr>
        <xdr:cNvPr id="8" name="Chart 7">
          <a:extLst>
            <a:ext uri="{FF2B5EF4-FFF2-40B4-BE49-F238E27FC236}">
              <a16:creationId xmlns:a16="http://schemas.microsoft.com/office/drawing/2014/main" id="{DCA5234E-D7CC-4949-9824-077CA3F682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480060</xdr:colOff>
      <xdr:row>14</xdr:row>
      <xdr:rowOff>60960</xdr:rowOff>
    </xdr:from>
    <xdr:to>
      <xdr:col>6</xdr:col>
      <xdr:colOff>571500</xdr:colOff>
      <xdr:row>25</xdr:row>
      <xdr:rowOff>152400</xdr:rowOff>
    </xdr:to>
    <xdr:graphicFrame macro="">
      <xdr:nvGraphicFramePr>
        <xdr:cNvPr id="9" name="Chart 8">
          <a:extLst>
            <a:ext uri="{FF2B5EF4-FFF2-40B4-BE49-F238E27FC236}">
              <a16:creationId xmlns:a16="http://schemas.microsoft.com/office/drawing/2014/main" id="{A21201BA-B303-4D3F-9405-9427F3B47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396240</xdr:colOff>
      <xdr:row>21</xdr:row>
      <xdr:rowOff>160020</xdr:rowOff>
    </xdr:from>
    <xdr:to>
      <xdr:col>23</xdr:col>
      <xdr:colOff>472440</xdr:colOff>
      <xdr:row>33</xdr:row>
      <xdr:rowOff>76200</xdr:rowOff>
    </xdr:to>
    <xdr:graphicFrame macro="">
      <xdr:nvGraphicFramePr>
        <xdr:cNvPr id="10" name="Chart 9">
          <a:extLst>
            <a:ext uri="{FF2B5EF4-FFF2-40B4-BE49-F238E27FC236}">
              <a16:creationId xmlns:a16="http://schemas.microsoft.com/office/drawing/2014/main" id="{E8FD30D9-99FA-49E0-BE0D-2F6F4ECFF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7620</xdr:colOff>
      <xdr:row>3</xdr:row>
      <xdr:rowOff>0</xdr:rowOff>
    </xdr:from>
    <xdr:to>
      <xdr:col>2</xdr:col>
      <xdr:colOff>320040</xdr:colOff>
      <xdr:row>10</xdr:row>
      <xdr:rowOff>175260</xdr:rowOff>
    </xdr:to>
    <mc:AlternateContent xmlns:mc="http://schemas.openxmlformats.org/markup-compatibility/2006" xmlns:a14="http://schemas.microsoft.com/office/drawing/2010/main">
      <mc:Choice Requires="a14">
        <xdr:graphicFrame macro="">
          <xdr:nvGraphicFramePr>
            <xdr:cNvPr id="11" name="Doctor_Name 1">
              <a:extLst>
                <a:ext uri="{FF2B5EF4-FFF2-40B4-BE49-F238E27FC236}">
                  <a16:creationId xmlns:a16="http://schemas.microsoft.com/office/drawing/2014/main" id="{891DF1F5-340E-4BBC-B05A-73C7938CF1F5}"/>
                </a:ext>
              </a:extLst>
            </xdr:cNvPr>
            <xdr:cNvGraphicFramePr/>
          </xdr:nvGraphicFramePr>
          <xdr:xfrm>
            <a:off x="0" y="0"/>
            <a:ext cx="0" cy="0"/>
          </xdr:xfrm>
          <a:graphic>
            <a:graphicData uri="http://schemas.microsoft.com/office/drawing/2010/slicer">
              <sle:slicer xmlns:sle="http://schemas.microsoft.com/office/drawing/2010/slicer" name="Doctor_Name 1"/>
            </a:graphicData>
          </a:graphic>
        </xdr:graphicFrame>
      </mc:Choice>
      <mc:Fallback xmlns="">
        <xdr:sp macro="" textlink="">
          <xdr:nvSpPr>
            <xdr:cNvPr id="0" name=""/>
            <xdr:cNvSpPr>
              <a:spLocks noTextEdit="1"/>
            </xdr:cNvSpPr>
          </xdr:nvSpPr>
          <xdr:spPr>
            <a:xfrm>
              <a:off x="7620" y="548640"/>
              <a:ext cx="153162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30480</xdr:colOff>
      <xdr:row>3</xdr:row>
      <xdr:rowOff>22860</xdr:rowOff>
    </xdr:from>
    <xdr:to>
      <xdr:col>5</xdr:col>
      <xdr:colOff>274320</xdr:colOff>
      <xdr:row>11</xdr:row>
      <xdr:rowOff>7620</xdr:rowOff>
    </xdr:to>
    <mc:AlternateContent xmlns:mc="http://schemas.openxmlformats.org/markup-compatibility/2006" xmlns:a14="http://schemas.microsoft.com/office/drawing/2010/main">
      <mc:Choice Requires="a14">
        <xdr:graphicFrame macro="">
          <xdr:nvGraphicFramePr>
            <xdr:cNvPr id="13" name="Department 1">
              <a:extLst>
                <a:ext uri="{FF2B5EF4-FFF2-40B4-BE49-F238E27FC236}">
                  <a16:creationId xmlns:a16="http://schemas.microsoft.com/office/drawing/2014/main" id="{40187EFD-173D-44AB-9992-A05D7E55815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859280" y="571500"/>
              <a:ext cx="146304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449580</xdr:colOff>
      <xdr:row>3</xdr:row>
      <xdr:rowOff>0</xdr:rowOff>
    </xdr:from>
    <xdr:to>
      <xdr:col>8</xdr:col>
      <xdr:colOff>91440</xdr:colOff>
      <xdr:row>9</xdr:row>
      <xdr:rowOff>76200</xdr:rowOff>
    </xdr:to>
    <mc:AlternateContent xmlns:mc="http://schemas.openxmlformats.org/markup-compatibility/2006" xmlns:a14="http://schemas.microsoft.com/office/drawing/2010/main">
      <mc:Choice Requires="a14">
        <xdr:graphicFrame macro="">
          <xdr:nvGraphicFramePr>
            <xdr:cNvPr id="15" name="Status 1">
              <a:extLst>
                <a:ext uri="{FF2B5EF4-FFF2-40B4-BE49-F238E27FC236}">
                  <a16:creationId xmlns:a16="http://schemas.microsoft.com/office/drawing/2014/main" id="{90F8E3EA-B645-44DD-9A78-28CD350F152C}"/>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3497580" y="548640"/>
              <a:ext cx="147066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152400</xdr:colOff>
      <xdr:row>4</xdr:row>
      <xdr:rowOff>38100</xdr:rowOff>
    </xdr:from>
    <xdr:to>
      <xdr:col>16</xdr:col>
      <xdr:colOff>327660</xdr:colOff>
      <xdr:row>7</xdr:row>
      <xdr:rowOff>106680</xdr:rowOff>
    </xdr:to>
    <xdr:sp macro="" textlink="">
      <xdr:nvSpPr>
        <xdr:cNvPr id="4" name="Rectangle 3">
          <a:extLst>
            <a:ext uri="{FF2B5EF4-FFF2-40B4-BE49-F238E27FC236}">
              <a16:creationId xmlns:a16="http://schemas.microsoft.com/office/drawing/2014/main" id="{C2C68CE6-E296-49AE-A1A6-F83ABD5FD0D5}"/>
            </a:ext>
          </a:extLst>
        </xdr:cNvPr>
        <xdr:cNvSpPr/>
      </xdr:nvSpPr>
      <xdr:spPr>
        <a:xfrm>
          <a:off x="8084820" y="769620"/>
          <a:ext cx="2004060" cy="617220"/>
        </a:xfrm>
        <a:prstGeom prst="rect">
          <a:avLst/>
        </a:prstGeom>
        <a:solidFill>
          <a:srgbClr val="3A2B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66FF66"/>
              </a:solidFill>
            </a:rPr>
            <a:t>Total</a:t>
          </a:r>
          <a:r>
            <a:rPr lang="en-IN" sz="1600" b="1" baseline="0">
              <a:solidFill>
                <a:srgbClr val="66FF66"/>
              </a:solidFill>
            </a:rPr>
            <a:t> Appointments</a:t>
          </a:r>
        </a:p>
        <a:p>
          <a:pPr algn="ctr"/>
          <a:r>
            <a:rPr lang="en-IN" sz="1600" b="1" baseline="0">
              <a:solidFill>
                <a:srgbClr val="66FF66"/>
              </a:solidFill>
            </a:rPr>
            <a:t>86</a:t>
          </a:r>
        </a:p>
        <a:p>
          <a:pPr algn="l"/>
          <a:r>
            <a:rPr lang="en-IN" sz="1600" b="1" baseline="0">
              <a:solidFill>
                <a:schemeClr val="tx1"/>
              </a:solidFill>
            </a:rPr>
            <a:t>  </a:t>
          </a:r>
          <a:endParaRPr lang="en-IN" sz="1600" b="1">
            <a:solidFill>
              <a:schemeClr val="tx1"/>
            </a:solidFill>
          </a:endParaRPr>
        </a:p>
      </xdr:txBody>
    </xdr:sp>
    <xdr:clientData/>
  </xdr:twoCellAnchor>
  <xdr:twoCellAnchor>
    <xdr:from>
      <xdr:col>17</xdr:col>
      <xdr:colOff>121920</xdr:colOff>
      <xdr:row>4</xdr:row>
      <xdr:rowOff>53340</xdr:rowOff>
    </xdr:from>
    <xdr:to>
      <xdr:col>19</xdr:col>
      <xdr:colOff>419100</xdr:colOff>
      <xdr:row>7</xdr:row>
      <xdr:rowOff>114300</xdr:rowOff>
    </xdr:to>
    <xdr:sp macro="" textlink="">
      <xdr:nvSpPr>
        <xdr:cNvPr id="12" name="Rectangle 11">
          <a:extLst>
            <a:ext uri="{FF2B5EF4-FFF2-40B4-BE49-F238E27FC236}">
              <a16:creationId xmlns:a16="http://schemas.microsoft.com/office/drawing/2014/main" id="{46FA1D10-B065-4C42-A8CA-EF849A5A6F8D}"/>
            </a:ext>
          </a:extLst>
        </xdr:cNvPr>
        <xdr:cNvSpPr/>
      </xdr:nvSpPr>
      <xdr:spPr>
        <a:xfrm>
          <a:off x="10492740" y="784860"/>
          <a:ext cx="1516380" cy="609600"/>
        </a:xfrm>
        <a:prstGeom prst="rect">
          <a:avLst/>
        </a:prstGeom>
        <a:solidFill>
          <a:srgbClr val="3A2B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baseline="0">
              <a:solidFill>
                <a:srgbClr val="66FF66"/>
              </a:solidFill>
            </a:rPr>
            <a:t>No Show Count</a:t>
          </a:r>
        </a:p>
        <a:p>
          <a:pPr algn="ctr"/>
          <a:r>
            <a:rPr lang="en-IN" sz="1600" b="1" baseline="0">
              <a:solidFill>
                <a:srgbClr val="66FF66"/>
              </a:solidFill>
            </a:rPr>
            <a:t>9</a:t>
          </a:r>
        </a:p>
        <a:p>
          <a:pPr algn="l"/>
          <a:r>
            <a:rPr lang="en-IN" sz="1600" b="1" baseline="0">
              <a:solidFill>
                <a:schemeClr val="tx1"/>
              </a:solidFill>
            </a:rPr>
            <a:t>  </a:t>
          </a:r>
          <a:endParaRPr lang="en-IN" sz="1600" b="1">
            <a:solidFill>
              <a:schemeClr val="tx1"/>
            </a:solidFill>
          </a:endParaRPr>
        </a:p>
      </xdr:txBody>
    </xdr:sp>
    <xdr:clientData/>
  </xdr:twoCellAnchor>
  <xdr:twoCellAnchor>
    <xdr:from>
      <xdr:col>20</xdr:col>
      <xdr:colOff>160020</xdr:colOff>
      <xdr:row>4</xdr:row>
      <xdr:rowOff>83821</xdr:rowOff>
    </xdr:from>
    <xdr:to>
      <xdr:col>23</xdr:col>
      <xdr:colOff>53340</xdr:colOff>
      <xdr:row>8</xdr:row>
      <xdr:rowOff>1</xdr:rowOff>
    </xdr:to>
    <xdr:sp macro="" textlink="">
      <xdr:nvSpPr>
        <xdr:cNvPr id="14" name="Rectangle 13">
          <a:extLst>
            <a:ext uri="{FF2B5EF4-FFF2-40B4-BE49-F238E27FC236}">
              <a16:creationId xmlns:a16="http://schemas.microsoft.com/office/drawing/2014/main" id="{B0470AA3-802C-4965-816A-EEE682A25821}"/>
            </a:ext>
          </a:extLst>
        </xdr:cNvPr>
        <xdr:cNvSpPr/>
      </xdr:nvSpPr>
      <xdr:spPr>
        <a:xfrm>
          <a:off x="12359640" y="815341"/>
          <a:ext cx="1722120" cy="647700"/>
        </a:xfrm>
        <a:prstGeom prst="rect">
          <a:avLst/>
        </a:prstGeom>
        <a:solidFill>
          <a:srgbClr val="3A2B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baseline="0">
              <a:solidFill>
                <a:srgbClr val="66FF66"/>
              </a:solidFill>
            </a:rPr>
            <a:t>No-Show Rate</a:t>
          </a:r>
        </a:p>
        <a:p>
          <a:pPr algn="ctr"/>
          <a:r>
            <a:rPr lang="en-IN" sz="1600" b="1" baseline="0">
              <a:solidFill>
                <a:srgbClr val="66FF66"/>
              </a:solidFill>
            </a:rPr>
            <a:t>9%</a:t>
          </a:r>
        </a:p>
        <a:p>
          <a:pPr algn="l"/>
          <a:r>
            <a:rPr lang="en-IN" sz="1600" b="1" baseline="0">
              <a:solidFill>
                <a:schemeClr val="tx1"/>
              </a:solidFill>
            </a:rPr>
            <a:t>  </a:t>
          </a:r>
          <a:endParaRPr lang="en-IN" sz="1600" b="1">
            <a:solidFill>
              <a:schemeClr val="tx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ma Nagasontoshi" refreshedDate="46056.680366435183" createdVersion="8" refreshedVersion="8" minRefreshableVersion="3" recordCount="100" xr:uid="{DA6463AF-8FC5-48AF-AF52-8B46AA19CA81}">
  <cacheSource type="worksheet">
    <worksheetSource name="Table4"/>
  </cacheSource>
  <cacheFields count="13">
    <cacheField name="Appointment_ID" numFmtId="0">
      <sharedItems/>
    </cacheField>
    <cacheField name="Date" numFmtId="14">
      <sharedItems containsSemiMixedTypes="0" containsNonDate="0" containsDate="1" containsString="0" minDate="2025-01-01T00:00:00" maxDate="2025-01-27T00:00:00" count="26">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sharedItems>
    </cacheField>
    <cacheField name="Patient_ID" numFmtId="0">
      <sharedItems/>
    </cacheField>
    <cacheField name="Doctor_Name" numFmtId="0">
      <sharedItems count="4">
        <s v="Dr. Rao"/>
        <s v="Dr. Mehta"/>
        <s v="Dr. Singh"/>
        <s v="Dr. Sharma"/>
      </sharedItems>
    </cacheField>
    <cacheField name="Department" numFmtId="0">
      <sharedItems count="4">
        <s v="Cardiology"/>
        <s v="Orthopedics"/>
        <s v="Neurology"/>
        <s v="General Medicine"/>
      </sharedItems>
    </cacheField>
    <cacheField name="Appointment_Type" numFmtId="0">
      <sharedItems count="3">
        <s v="Consultation"/>
        <s v="Follow-up"/>
        <s v="Surgery"/>
      </sharedItems>
    </cacheField>
    <cacheField name="Fee" numFmtId="0">
      <sharedItems containsSemiMixedTypes="0" containsString="0" containsNumber="1" containsInteger="1" minValue="300" maxValue="25000"/>
    </cacheField>
    <cacheField name="Status" numFmtId="0">
      <sharedItems count="3">
        <s v="Completed"/>
        <s v="No Show"/>
        <s v="Cancelled"/>
      </sharedItems>
    </cacheField>
    <cacheField name="Revenue" numFmtId="0">
      <sharedItems containsSemiMixedTypes="0" containsString="0" containsNumber="1" containsInteger="1" minValue="0" maxValue="25000"/>
    </cacheField>
    <cacheField name="sum of Revenue" numFmtId="164">
      <sharedItems containsSemiMixedTypes="0" containsString="0" containsNumber="1" containsInteger="1" minValue="432600" maxValue="432600"/>
    </cacheField>
    <cacheField name="Num_No shows" numFmtId="0">
      <sharedItems containsSemiMixedTypes="0" containsString="0" containsNumber="1" containsInteger="1" minValue="9" maxValue="9"/>
    </cacheField>
    <cacheField name="No Show rate" numFmtId="9">
      <sharedItems containsSemiMixedTypes="0" containsString="0" containsNumber="1" minValue="0.09" maxValue="0.09"/>
    </cacheField>
    <cacheField name="No Show_Flag Rate"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21357975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A001"/>
    <x v="0"/>
    <s v="P001"/>
    <x v="0"/>
    <x v="0"/>
    <x v="0"/>
    <n v="800"/>
    <x v="0"/>
    <n v="800"/>
    <n v="432600"/>
    <n v="9"/>
    <n v="0.09"/>
    <x v="0"/>
  </r>
  <r>
    <s v="A002"/>
    <x v="0"/>
    <s v="P002"/>
    <x v="1"/>
    <x v="1"/>
    <x v="1"/>
    <n v="500"/>
    <x v="1"/>
    <n v="0"/>
    <n v="432600"/>
    <n v="9"/>
    <n v="0.09"/>
    <x v="1"/>
  </r>
  <r>
    <s v="A003"/>
    <x v="0"/>
    <s v="P003"/>
    <x v="2"/>
    <x v="2"/>
    <x v="0"/>
    <n v="1000"/>
    <x v="0"/>
    <n v="1000"/>
    <n v="432600"/>
    <n v="9"/>
    <n v="0.09"/>
    <x v="0"/>
  </r>
  <r>
    <s v="A004"/>
    <x v="1"/>
    <s v="P004"/>
    <x v="0"/>
    <x v="0"/>
    <x v="1"/>
    <n v="400"/>
    <x v="0"/>
    <n v="400"/>
    <n v="432600"/>
    <n v="9"/>
    <n v="0.09"/>
    <x v="0"/>
  </r>
  <r>
    <s v="A005"/>
    <x v="1"/>
    <s v="P005"/>
    <x v="1"/>
    <x v="1"/>
    <x v="0"/>
    <n v="700"/>
    <x v="0"/>
    <n v="700"/>
    <n v="432600"/>
    <n v="9"/>
    <n v="0.09"/>
    <x v="0"/>
  </r>
  <r>
    <s v="A006"/>
    <x v="1"/>
    <s v="P006"/>
    <x v="3"/>
    <x v="3"/>
    <x v="0"/>
    <n v="500"/>
    <x v="0"/>
    <n v="500"/>
    <n v="432600"/>
    <n v="9"/>
    <n v="0.09"/>
    <x v="0"/>
  </r>
  <r>
    <s v="A007"/>
    <x v="2"/>
    <s v="P007"/>
    <x v="2"/>
    <x v="2"/>
    <x v="1"/>
    <n v="600"/>
    <x v="2"/>
    <n v="0"/>
    <n v="432600"/>
    <n v="9"/>
    <n v="0.09"/>
    <x v="0"/>
  </r>
  <r>
    <s v="A008"/>
    <x v="2"/>
    <s v="P008"/>
    <x v="0"/>
    <x v="0"/>
    <x v="2"/>
    <n v="20000"/>
    <x v="0"/>
    <n v="20000"/>
    <n v="432600"/>
    <n v="9"/>
    <n v="0.09"/>
    <x v="0"/>
  </r>
  <r>
    <s v="A009"/>
    <x v="2"/>
    <s v="P009"/>
    <x v="1"/>
    <x v="1"/>
    <x v="2"/>
    <n v="15000"/>
    <x v="0"/>
    <n v="15000"/>
    <n v="432600"/>
    <n v="9"/>
    <n v="0.09"/>
    <x v="0"/>
  </r>
  <r>
    <s v="A010"/>
    <x v="2"/>
    <s v="P010"/>
    <x v="3"/>
    <x v="3"/>
    <x v="1"/>
    <n v="300"/>
    <x v="0"/>
    <n v="300"/>
    <n v="432600"/>
    <n v="9"/>
    <n v="0.09"/>
    <x v="0"/>
  </r>
  <r>
    <s v="A011"/>
    <x v="3"/>
    <s v="P011"/>
    <x v="0"/>
    <x v="0"/>
    <x v="0"/>
    <n v="800"/>
    <x v="1"/>
    <n v="0"/>
    <n v="432600"/>
    <n v="9"/>
    <n v="0.09"/>
    <x v="1"/>
  </r>
  <r>
    <s v="A012"/>
    <x v="3"/>
    <s v="P012"/>
    <x v="2"/>
    <x v="2"/>
    <x v="0"/>
    <n v="1000"/>
    <x v="0"/>
    <n v="1000"/>
    <n v="432600"/>
    <n v="9"/>
    <n v="0.09"/>
    <x v="0"/>
  </r>
  <r>
    <s v="A013"/>
    <x v="3"/>
    <s v="P013"/>
    <x v="1"/>
    <x v="1"/>
    <x v="1"/>
    <n v="500"/>
    <x v="0"/>
    <n v="500"/>
    <n v="432600"/>
    <n v="9"/>
    <n v="0.09"/>
    <x v="0"/>
  </r>
  <r>
    <s v="A014"/>
    <x v="3"/>
    <s v="P014"/>
    <x v="3"/>
    <x v="3"/>
    <x v="0"/>
    <n v="500"/>
    <x v="0"/>
    <n v="500"/>
    <n v="432600"/>
    <n v="9"/>
    <n v="0.09"/>
    <x v="0"/>
  </r>
  <r>
    <s v="A015"/>
    <x v="4"/>
    <s v="P015"/>
    <x v="0"/>
    <x v="0"/>
    <x v="0"/>
    <n v="800"/>
    <x v="0"/>
    <n v="800"/>
    <n v="432600"/>
    <n v="9"/>
    <n v="0.09"/>
    <x v="0"/>
  </r>
  <r>
    <s v="A016"/>
    <x v="4"/>
    <s v="P016"/>
    <x v="2"/>
    <x v="2"/>
    <x v="2"/>
    <n v="18000"/>
    <x v="0"/>
    <n v="18000"/>
    <n v="432600"/>
    <n v="9"/>
    <n v="0.09"/>
    <x v="0"/>
  </r>
  <r>
    <s v="A017"/>
    <x v="4"/>
    <s v="P017"/>
    <x v="1"/>
    <x v="1"/>
    <x v="0"/>
    <n v="700"/>
    <x v="1"/>
    <n v="0"/>
    <n v="432600"/>
    <n v="9"/>
    <n v="0.09"/>
    <x v="1"/>
  </r>
  <r>
    <s v="A018"/>
    <x v="4"/>
    <s v="P018"/>
    <x v="3"/>
    <x v="3"/>
    <x v="1"/>
    <n v="300"/>
    <x v="0"/>
    <n v="300"/>
    <n v="432600"/>
    <n v="9"/>
    <n v="0.09"/>
    <x v="0"/>
  </r>
  <r>
    <s v="A019"/>
    <x v="5"/>
    <s v="P019"/>
    <x v="0"/>
    <x v="0"/>
    <x v="1"/>
    <n v="400"/>
    <x v="0"/>
    <n v="400"/>
    <n v="432600"/>
    <n v="9"/>
    <n v="0.09"/>
    <x v="0"/>
  </r>
  <r>
    <s v="A020"/>
    <x v="5"/>
    <s v="P020"/>
    <x v="2"/>
    <x v="2"/>
    <x v="0"/>
    <n v="1000"/>
    <x v="0"/>
    <n v="1000"/>
    <n v="432600"/>
    <n v="9"/>
    <n v="0.09"/>
    <x v="0"/>
  </r>
  <r>
    <s v="A021"/>
    <x v="5"/>
    <s v="P021"/>
    <x v="1"/>
    <x v="1"/>
    <x v="0"/>
    <n v="700"/>
    <x v="0"/>
    <n v="700"/>
    <n v="432600"/>
    <n v="9"/>
    <n v="0.09"/>
    <x v="0"/>
  </r>
  <r>
    <s v="A022"/>
    <x v="5"/>
    <s v="P022"/>
    <x v="3"/>
    <x v="3"/>
    <x v="0"/>
    <n v="500"/>
    <x v="2"/>
    <n v="0"/>
    <n v="432600"/>
    <n v="9"/>
    <n v="0.09"/>
    <x v="0"/>
  </r>
  <r>
    <s v="A023"/>
    <x v="6"/>
    <s v="P023"/>
    <x v="0"/>
    <x v="0"/>
    <x v="2"/>
    <n v="22000"/>
    <x v="0"/>
    <n v="22000"/>
    <n v="432600"/>
    <n v="9"/>
    <n v="0.09"/>
    <x v="0"/>
  </r>
  <r>
    <s v="A024"/>
    <x v="6"/>
    <s v="P024"/>
    <x v="2"/>
    <x v="2"/>
    <x v="1"/>
    <n v="600"/>
    <x v="0"/>
    <n v="600"/>
    <n v="432600"/>
    <n v="9"/>
    <n v="0.09"/>
    <x v="0"/>
  </r>
  <r>
    <s v="A025"/>
    <x v="6"/>
    <s v="P025"/>
    <x v="1"/>
    <x v="1"/>
    <x v="1"/>
    <n v="500"/>
    <x v="0"/>
    <n v="500"/>
    <n v="432600"/>
    <n v="9"/>
    <n v="0.09"/>
    <x v="0"/>
  </r>
  <r>
    <s v="A026"/>
    <x v="6"/>
    <s v="P026"/>
    <x v="3"/>
    <x v="3"/>
    <x v="0"/>
    <n v="500"/>
    <x v="0"/>
    <n v="500"/>
    <n v="432600"/>
    <n v="9"/>
    <n v="0.09"/>
    <x v="0"/>
  </r>
  <r>
    <s v="A027"/>
    <x v="7"/>
    <s v="P027"/>
    <x v="0"/>
    <x v="0"/>
    <x v="0"/>
    <n v="800"/>
    <x v="0"/>
    <n v="800"/>
    <n v="432600"/>
    <n v="9"/>
    <n v="0.09"/>
    <x v="0"/>
  </r>
  <r>
    <s v="A028"/>
    <x v="7"/>
    <s v="P028"/>
    <x v="2"/>
    <x v="2"/>
    <x v="0"/>
    <n v="1000"/>
    <x v="1"/>
    <n v="0"/>
    <n v="432600"/>
    <n v="9"/>
    <n v="0.09"/>
    <x v="1"/>
  </r>
  <r>
    <s v="A029"/>
    <x v="7"/>
    <s v="P029"/>
    <x v="1"/>
    <x v="1"/>
    <x v="2"/>
    <n v="16000"/>
    <x v="0"/>
    <n v="16000"/>
    <n v="432600"/>
    <n v="9"/>
    <n v="0.09"/>
    <x v="0"/>
  </r>
  <r>
    <s v="A030"/>
    <x v="7"/>
    <s v="P030"/>
    <x v="3"/>
    <x v="3"/>
    <x v="1"/>
    <n v="300"/>
    <x v="0"/>
    <n v="300"/>
    <n v="432600"/>
    <n v="9"/>
    <n v="0.09"/>
    <x v="0"/>
  </r>
  <r>
    <s v="A031"/>
    <x v="8"/>
    <s v="P031"/>
    <x v="0"/>
    <x v="0"/>
    <x v="1"/>
    <n v="400"/>
    <x v="0"/>
    <n v="400"/>
    <n v="432600"/>
    <n v="9"/>
    <n v="0.09"/>
    <x v="0"/>
  </r>
  <r>
    <s v="A032"/>
    <x v="8"/>
    <s v="P032"/>
    <x v="2"/>
    <x v="2"/>
    <x v="2"/>
    <n v="19000"/>
    <x v="0"/>
    <n v="19000"/>
    <n v="432600"/>
    <n v="9"/>
    <n v="0.09"/>
    <x v="0"/>
  </r>
  <r>
    <s v="A033"/>
    <x v="8"/>
    <s v="P033"/>
    <x v="1"/>
    <x v="1"/>
    <x v="0"/>
    <n v="700"/>
    <x v="0"/>
    <n v="700"/>
    <n v="432600"/>
    <n v="9"/>
    <n v="0.09"/>
    <x v="0"/>
  </r>
  <r>
    <s v="A034"/>
    <x v="8"/>
    <s v="P034"/>
    <x v="3"/>
    <x v="3"/>
    <x v="0"/>
    <n v="500"/>
    <x v="0"/>
    <n v="500"/>
    <n v="432600"/>
    <n v="9"/>
    <n v="0.09"/>
    <x v="0"/>
  </r>
  <r>
    <s v="A035"/>
    <x v="9"/>
    <s v="P035"/>
    <x v="0"/>
    <x v="0"/>
    <x v="0"/>
    <n v="800"/>
    <x v="0"/>
    <n v="800"/>
    <n v="432600"/>
    <n v="9"/>
    <n v="0.09"/>
    <x v="0"/>
  </r>
  <r>
    <s v="A036"/>
    <x v="9"/>
    <s v="P036"/>
    <x v="2"/>
    <x v="2"/>
    <x v="1"/>
    <n v="600"/>
    <x v="2"/>
    <n v="0"/>
    <n v="432600"/>
    <n v="9"/>
    <n v="0.09"/>
    <x v="0"/>
  </r>
  <r>
    <s v="A037"/>
    <x v="9"/>
    <s v="P037"/>
    <x v="1"/>
    <x v="1"/>
    <x v="1"/>
    <n v="500"/>
    <x v="0"/>
    <n v="500"/>
    <n v="432600"/>
    <n v="9"/>
    <n v="0.09"/>
    <x v="0"/>
  </r>
  <r>
    <s v="A038"/>
    <x v="9"/>
    <s v="P038"/>
    <x v="3"/>
    <x v="3"/>
    <x v="0"/>
    <n v="500"/>
    <x v="0"/>
    <n v="500"/>
    <n v="432600"/>
    <n v="9"/>
    <n v="0.09"/>
    <x v="0"/>
  </r>
  <r>
    <s v="A039"/>
    <x v="10"/>
    <s v="P039"/>
    <x v="0"/>
    <x v="0"/>
    <x v="2"/>
    <n v="21000"/>
    <x v="0"/>
    <n v="21000"/>
    <n v="432600"/>
    <n v="9"/>
    <n v="0.09"/>
    <x v="0"/>
  </r>
  <r>
    <s v="A040"/>
    <x v="10"/>
    <s v="P040"/>
    <x v="2"/>
    <x v="2"/>
    <x v="0"/>
    <n v="1000"/>
    <x v="0"/>
    <n v="1000"/>
    <n v="432600"/>
    <n v="9"/>
    <n v="0.09"/>
    <x v="0"/>
  </r>
  <r>
    <s v="A041"/>
    <x v="10"/>
    <s v="P041"/>
    <x v="1"/>
    <x v="1"/>
    <x v="0"/>
    <n v="700"/>
    <x v="1"/>
    <n v="0"/>
    <n v="432600"/>
    <n v="9"/>
    <n v="0.09"/>
    <x v="1"/>
  </r>
  <r>
    <s v="A042"/>
    <x v="10"/>
    <s v="P042"/>
    <x v="3"/>
    <x v="3"/>
    <x v="1"/>
    <n v="300"/>
    <x v="0"/>
    <n v="300"/>
    <n v="432600"/>
    <n v="9"/>
    <n v="0.09"/>
    <x v="0"/>
  </r>
  <r>
    <s v="A043"/>
    <x v="11"/>
    <s v="P043"/>
    <x v="0"/>
    <x v="0"/>
    <x v="0"/>
    <n v="800"/>
    <x v="0"/>
    <n v="800"/>
    <n v="432600"/>
    <n v="9"/>
    <n v="0.09"/>
    <x v="0"/>
  </r>
  <r>
    <s v="A044"/>
    <x v="11"/>
    <s v="P044"/>
    <x v="2"/>
    <x v="2"/>
    <x v="2"/>
    <n v="20000"/>
    <x v="0"/>
    <n v="20000"/>
    <n v="432600"/>
    <n v="9"/>
    <n v="0.09"/>
    <x v="0"/>
  </r>
  <r>
    <s v="A045"/>
    <x v="11"/>
    <s v="P045"/>
    <x v="1"/>
    <x v="1"/>
    <x v="1"/>
    <n v="500"/>
    <x v="0"/>
    <n v="500"/>
    <n v="432600"/>
    <n v="9"/>
    <n v="0.09"/>
    <x v="0"/>
  </r>
  <r>
    <s v="A046"/>
    <x v="11"/>
    <s v="P046"/>
    <x v="3"/>
    <x v="3"/>
    <x v="0"/>
    <n v="500"/>
    <x v="0"/>
    <n v="500"/>
    <n v="432600"/>
    <n v="9"/>
    <n v="0.09"/>
    <x v="0"/>
  </r>
  <r>
    <s v="A047"/>
    <x v="12"/>
    <s v="P047"/>
    <x v="0"/>
    <x v="0"/>
    <x v="1"/>
    <n v="400"/>
    <x v="0"/>
    <n v="400"/>
    <n v="432600"/>
    <n v="9"/>
    <n v="0.09"/>
    <x v="0"/>
  </r>
  <r>
    <s v="A048"/>
    <x v="12"/>
    <s v="P048"/>
    <x v="2"/>
    <x v="2"/>
    <x v="0"/>
    <n v="1000"/>
    <x v="0"/>
    <n v="1000"/>
    <n v="432600"/>
    <n v="9"/>
    <n v="0.09"/>
    <x v="0"/>
  </r>
  <r>
    <s v="A049"/>
    <x v="12"/>
    <s v="P049"/>
    <x v="1"/>
    <x v="1"/>
    <x v="2"/>
    <n v="15500"/>
    <x v="0"/>
    <n v="15500"/>
    <n v="432600"/>
    <n v="9"/>
    <n v="0.09"/>
    <x v="0"/>
  </r>
  <r>
    <s v="A050"/>
    <x v="12"/>
    <s v="P050"/>
    <x v="3"/>
    <x v="3"/>
    <x v="0"/>
    <n v="500"/>
    <x v="2"/>
    <n v="0"/>
    <n v="432600"/>
    <n v="9"/>
    <n v="0.09"/>
    <x v="0"/>
  </r>
  <r>
    <s v="A051"/>
    <x v="13"/>
    <s v="P051"/>
    <x v="0"/>
    <x v="0"/>
    <x v="0"/>
    <n v="800"/>
    <x v="0"/>
    <n v="800"/>
    <n v="432600"/>
    <n v="9"/>
    <n v="0.09"/>
    <x v="0"/>
  </r>
  <r>
    <s v="A052"/>
    <x v="13"/>
    <s v="P052"/>
    <x v="2"/>
    <x v="2"/>
    <x v="1"/>
    <n v="600"/>
    <x v="0"/>
    <n v="600"/>
    <n v="432600"/>
    <n v="9"/>
    <n v="0.09"/>
    <x v="0"/>
  </r>
  <r>
    <s v="A053"/>
    <x v="13"/>
    <s v="P053"/>
    <x v="1"/>
    <x v="1"/>
    <x v="0"/>
    <n v="700"/>
    <x v="0"/>
    <n v="700"/>
    <n v="432600"/>
    <n v="9"/>
    <n v="0.09"/>
    <x v="0"/>
  </r>
  <r>
    <s v="A054"/>
    <x v="13"/>
    <s v="P054"/>
    <x v="3"/>
    <x v="3"/>
    <x v="1"/>
    <n v="300"/>
    <x v="0"/>
    <n v="300"/>
    <n v="432600"/>
    <n v="9"/>
    <n v="0.09"/>
    <x v="0"/>
  </r>
  <r>
    <s v="A055"/>
    <x v="14"/>
    <s v="P055"/>
    <x v="0"/>
    <x v="0"/>
    <x v="2"/>
    <n v="23000"/>
    <x v="0"/>
    <n v="23000"/>
    <n v="432600"/>
    <n v="9"/>
    <n v="0.09"/>
    <x v="0"/>
  </r>
  <r>
    <s v="A056"/>
    <x v="14"/>
    <s v="P056"/>
    <x v="2"/>
    <x v="2"/>
    <x v="0"/>
    <n v="1000"/>
    <x v="1"/>
    <n v="0"/>
    <n v="432600"/>
    <n v="9"/>
    <n v="0.09"/>
    <x v="1"/>
  </r>
  <r>
    <s v="A057"/>
    <x v="14"/>
    <s v="P057"/>
    <x v="1"/>
    <x v="1"/>
    <x v="1"/>
    <n v="500"/>
    <x v="0"/>
    <n v="500"/>
    <n v="432600"/>
    <n v="9"/>
    <n v="0.09"/>
    <x v="0"/>
  </r>
  <r>
    <s v="A058"/>
    <x v="14"/>
    <s v="P058"/>
    <x v="3"/>
    <x v="3"/>
    <x v="0"/>
    <n v="500"/>
    <x v="0"/>
    <n v="500"/>
    <n v="432600"/>
    <n v="9"/>
    <n v="0.09"/>
    <x v="0"/>
  </r>
  <r>
    <s v="A059"/>
    <x v="15"/>
    <s v="P059"/>
    <x v="0"/>
    <x v="0"/>
    <x v="1"/>
    <n v="400"/>
    <x v="0"/>
    <n v="400"/>
    <n v="432600"/>
    <n v="9"/>
    <n v="0.09"/>
    <x v="0"/>
  </r>
  <r>
    <s v="A060"/>
    <x v="15"/>
    <s v="P060"/>
    <x v="2"/>
    <x v="2"/>
    <x v="2"/>
    <n v="18500"/>
    <x v="0"/>
    <n v="18500"/>
    <n v="432600"/>
    <n v="9"/>
    <n v="0.09"/>
    <x v="0"/>
  </r>
  <r>
    <s v="A061"/>
    <x v="15"/>
    <s v="P061"/>
    <x v="1"/>
    <x v="1"/>
    <x v="0"/>
    <n v="700"/>
    <x v="0"/>
    <n v="700"/>
    <n v="432600"/>
    <n v="9"/>
    <n v="0.09"/>
    <x v="0"/>
  </r>
  <r>
    <s v="A062"/>
    <x v="15"/>
    <s v="P062"/>
    <x v="3"/>
    <x v="3"/>
    <x v="0"/>
    <n v="500"/>
    <x v="0"/>
    <n v="500"/>
    <n v="432600"/>
    <n v="9"/>
    <n v="0.09"/>
    <x v="0"/>
  </r>
  <r>
    <s v="A063"/>
    <x v="16"/>
    <s v="P063"/>
    <x v="0"/>
    <x v="0"/>
    <x v="0"/>
    <n v="800"/>
    <x v="0"/>
    <n v="800"/>
    <n v="432600"/>
    <n v="9"/>
    <n v="0.09"/>
    <x v="0"/>
  </r>
  <r>
    <s v="A064"/>
    <x v="16"/>
    <s v="P064"/>
    <x v="2"/>
    <x v="2"/>
    <x v="1"/>
    <n v="600"/>
    <x v="0"/>
    <n v="600"/>
    <n v="432600"/>
    <n v="9"/>
    <n v="0.09"/>
    <x v="0"/>
  </r>
  <r>
    <s v="A065"/>
    <x v="16"/>
    <s v="P065"/>
    <x v="1"/>
    <x v="1"/>
    <x v="2"/>
    <n v="17000"/>
    <x v="0"/>
    <n v="17000"/>
    <n v="432600"/>
    <n v="9"/>
    <n v="0.09"/>
    <x v="0"/>
  </r>
  <r>
    <s v="A066"/>
    <x v="16"/>
    <s v="P066"/>
    <x v="3"/>
    <x v="3"/>
    <x v="1"/>
    <n v="300"/>
    <x v="0"/>
    <n v="300"/>
    <n v="432600"/>
    <n v="9"/>
    <n v="0.09"/>
    <x v="0"/>
  </r>
  <r>
    <s v="A067"/>
    <x v="17"/>
    <s v="P067"/>
    <x v="0"/>
    <x v="0"/>
    <x v="2"/>
    <n v="22500"/>
    <x v="0"/>
    <n v="22500"/>
    <n v="432600"/>
    <n v="9"/>
    <n v="0.09"/>
    <x v="0"/>
  </r>
  <r>
    <s v="A068"/>
    <x v="17"/>
    <s v="P068"/>
    <x v="2"/>
    <x v="2"/>
    <x v="0"/>
    <n v="1000"/>
    <x v="0"/>
    <n v="1000"/>
    <n v="432600"/>
    <n v="9"/>
    <n v="0.09"/>
    <x v="0"/>
  </r>
  <r>
    <s v="A069"/>
    <x v="17"/>
    <s v="P069"/>
    <x v="1"/>
    <x v="1"/>
    <x v="0"/>
    <n v="700"/>
    <x v="1"/>
    <n v="0"/>
    <n v="432600"/>
    <n v="9"/>
    <n v="0.09"/>
    <x v="1"/>
  </r>
  <r>
    <s v="A070"/>
    <x v="17"/>
    <s v="P070"/>
    <x v="3"/>
    <x v="3"/>
    <x v="0"/>
    <n v="500"/>
    <x v="0"/>
    <n v="500"/>
    <n v="432600"/>
    <n v="9"/>
    <n v="0.09"/>
    <x v="0"/>
  </r>
  <r>
    <s v="A071"/>
    <x v="18"/>
    <s v="P071"/>
    <x v="0"/>
    <x v="0"/>
    <x v="1"/>
    <n v="400"/>
    <x v="0"/>
    <n v="400"/>
    <n v="432600"/>
    <n v="9"/>
    <n v="0.09"/>
    <x v="0"/>
  </r>
  <r>
    <s v="A072"/>
    <x v="18"/>
    <s v="P072"/>
    <x v="2"/>
    <x v="2"/>
    <x v="2"/>
    <n v="19500"/>
    <x v="0"/>
    <n v="19500"/>
    <n v="432600"/>
    <n v="9"/>
    <n v="0.09"/>
    <x v="0"/>
  </r>
  <r>
    <s v="A073"/>
    <x v="18"/>
    <s v="P073"/>
    <x v="1"/>
    <x v="1"/>
    <x v="1"/>
    <n v="500"/>
    <x v="0"/>
    <n v="500"/>
    <n v="432600"/>
    <n v="9"/>
    <n v="0.09"/>
    <x v="0"/>
  </r>
  <r>
    <s v="A074"/>
    <x v="18"/>
    <s v="P074"/>
    <x v="3"/>
    <x v="3"/>
    <x v="0"/>
    <n v="500"/>
    <x v="0"/>
    <n v="500"/>
    <n v="432600"/>
    <n v="9"/>
    <n v="0.09"/>
    <x v="0"/>
  </r>
  <r>
    <s v="A075"/>
    <x v="19"/>
    <s v="P075"/>
    <x v="0"/>
    <x v="0"/>
    <x v="0"/>
    <n v="800"/>
    <x v="0"/>
    <n v="800"/>
    <n v="432600"/>
    <n v="9"/>
    <n v="0.09"/>
    <x v="0"/>
  </r>
  <r>
    <s v="A076"/>
    <x v="19"/>
    <s v="P076"/>
    <x v="2"/>
    <x v="2"/>
    <x v="1"/>
    <n v="600"/>
    <x v="2"/>
    <n v="0"/>
    <n v="432600"/>
    <n v="9"/>
    <n v="0.09"/>
    <x v="0"/>
  </r>
  <r>
    <s v="A077"/>
    <x v="19"/>
    <s v="P077"/>
    <x v="1"/>
    <x v="1"/>
    <x v="0"/>
    <n v="700"/>
    <x v="0"/>
    <n v="700"/>
    <n v="432600"/>
    <n v="9"/>
    <n v="0.09"/>
    <x v="0"/>
  </r>
  <r>
    <s v="A078"/>
    <x v="19"/>
    <s v="P078"/>
    <x v="3"/>
    <x v="3"/>
    <x v="1"/>
    <n v="300"/>
    <x v="0"/>
    <n v="300"/>
    <n v="432600"/>
    <n v="9"/>
    <n v="0.09"/>
    <x v="0"/>
  </r>
  <r>
    <s v="A079"/>
    <x v="20"/>
    <s v="P079"/>
    <x v="0"/>
    <x v="0"/>
    <x v="2"/>
    <n v="24000"/>
    <x v="0"/>
    <n v="24000"/>
    <n v="432600"/>
    <n v="9"/>
    <n v="0.09"/>
    <x v="0"/>
  </r>
  <r>
    <s v="A080"/>
    <x v="20"/>
    <s v="P080"/>
    <x v="2"/>
    <x v="2"/>
    <x v="0"/>
    <n v="1000"/>
    <x v="0"/>
    <n v="1000"/>
    <n v="432600"/>
    <n v="9"/>
    <n v="0.09"/>
    <x v="0"/>
  </r>
  <r>
    <s v="A081"/>
    <x v="20"/>
    <s v="P081"/>
    <x v="1"/>
    <x v="1"/>
    <x v="2"/>
    <n v="16500"/>
    <x v="0"/>
    <n v="16500"/>
    <n v="432600"/>
    <n v="9"/>
    <n v="0.09"/>
    <x v="0"/>
  </r>
  <r>
    <s v="A082"/>
    <x v="20"/>
    <s v="P082"/>
    <x v="3"/>
    <x v="3"/>
    <x v="0"/>
    <n v="500"/>
    <x v="0"/>
    <n v="500"/>
    <n v="432600"/>
    <n v="9"/>
    <n v="0.09"/>
    <x v="0"/>
  </r>
  <r>
    <s v="A083"/>
    <x v="21"/>
    <s v="P083"/>
    <x v="0"/>
    <x v="0"/>
    <x v="0"/>
    <n v="800"/>
    <x v="0"/>
    <n v="800"/>
    <n v="432600"/>
    <n v="9"/>
    <n v="0.09"/>
    <x v="0"/>
  </r>
  <r>
    <s v="A084"/>
    <x v="21"/>
    <s v="P084"/>
    <x v="2"/>
    <x v="2"/>
    <x v="1"/>
    <n v="600"/>
    <x v="0"/>
    <n v="600"/>
    <n v="432600"/>
    <n v="9"/>
    <n v="0.09"/>
    <x v="0"/>
  </r>
  <r>
    <s v="A085"/>
    <x v="21"/>
    <s v="P085"/>
    <x v="1"/>
    <x v="1"/>
    <x v="1"/>
    <n v="500"/>
    <x v="1"/>
    <n v="0"/>
    <n v="432600"/>
    <n v="9"/>
    <n v="0.09"/>
    <x v="1"/>
  </r>
  <r>
    <s v="A086"/>
    <x v="21"/>
    <s v="P086"/>
    <x v="3"/>
    <x v="3"/>
    <x v="0"/>
    <n v="500"/>
    <x v="0"/>
    <n v="500"/>
    <n v="432600"/>
    <n v="9"/>
    <n v="0.09"/>
    <x v="0"/>
  </r>
  <r>
    <s v="A087"/>
    <x v="22"/>
    <s v="P087"/>
    <x v="0"/>
    <x v="0"/>
    <x v="1"/>
    <n v="400"/>
    <x v="0"/>
    <n v="400"/>
    <n v="432600"/>
    <n v="9"/>
    <n v="0.09"/>
    <x v="0"/>
  </r>
  <r>
    <s v="A088"/>
    <x v="22"/>
    <s v="P088"/>
    <x v="2"/>
    <x v="2"/>
    <x v="2"/>
    <n v="21000"/>
    <x v="0"/>
    <n v="21000"/>
    <n v="432600"/>
    <n v="9"/>
    <n v="0.09"/>
    <x v="0"/>
  </r>
  <r>
    <s v="A089"/>
    <x v="22"/>
    <s v="P089"/>
    <x v="1"/>
    <x v="1"/>
    <x v="0"/>
    <n v="700"/>
    <x v="0"/>
    <n v="700"/>
    <n v="432600"/>
    <n v="9"/>
    <n v="0.09"/>
    <x v="0"/>
  </r>
  <r>
    <s v="A090"/>
    <x v="22"/>
    <s v="P090"/>
    <x v="3"/>
    <x v="3"/>
    <x v="1"/>
    <n v="300"/>
    <x v="0"/>
    <n v="300"/>
    <n v="432600"/>
    <n v="9"/>
    <n v="0.09"/>
    <x v="0"/>
  </r>
  <r>
    <s v="A091"/>
    <x v="23"/>
    <s v="P091"/>
    <x v="0"/>
    <x v="0"/>
    <x v="0"/>
    <n v="800"/>
    <x v="0"/>
    <n v="800"/>
    <n v="432600"/>
    <n v="9"/>
    <n v="0.09"/>
    <x v="0"/>
  </r>
  <r>
    <s v="A092"/>
    <x v="23"/>
    <s v="P092"/>
    <x v="2"/>
    <x v="2"/>
    <x v="0"/>
    <n v="1000"/>
    <x v="0"/>
    <n v="1000"/>
    <n v="432600"/>
    <n v="9"/>
    <n v="0.09"/>
    <x v="0"/>
  </r>
  <r>
    <s v="A093"/>
    <x v="23"/>
    <s v="P093"/>
    <x v="1"/>
    <x v="1"/>
    <x v="2"/>
    <n v="17500"/>
    <x v="0"/>
    <n v="17500"/>
    <n v="432600"/>
    <n v="9"/>
    <n v="0.09"/>
    <x v="0"/>
  </r>
  <r>
    <s v="A094"/>
    <x v="23"/>
    <s v="P094"/>
    <x v="3"/>
    <x v="3"/>
    <x v="0"/>
    <n v="500"/>
    <x v="0"/>
    <n v="500"/>
    <n v="432600"/>
    <n v="9"/>
    <n v="0.09"/>
    <x v="0"/>
  </r>
  <r>
    <s v="A095"/>
    <x v="24"/>
    <s v="P095"/>
    <x v="0"/>
    <x v="0"/>
    <x v="2"/>
    <n v="25000"/>
    <x v="0"/>
    <n v="25000"/>
    <n v="432600"/>
    <n v="9"/>
    <n v="0.09"/>
    <x v="0"/>
  </r>
  <r>
    <s v="A096"/>
    <x v="24"/>
    <s v="P096"/>
    <x v="2"/>
    <x v="2"/>
    <x v="1"/>
    <n v="600"/>
    <x v="0"/>
    <n v="600"/>
    <n v="432600"/>
    <n v="9"/>
    <n v="0.09"/>
    <x v="0"/>
  </r>
  <r>
    <s v="A097"/>
    <x v="24"/>
    <s v="P097"/>
    <x v="1"/>
    <x v="1"/>
    <x v="0"/>
    <n v="700"/>
    <x v="0"/>
    <n v="700"/>
    <n v="432600"/>
    <n v="9"/>
    <n v="0.09"/>
    <x v="0"/>
  </r>
  <r>
    <s v="A098"/>
    <x v="24"/>
    <s v="P098"/>
    <x v="3"/>
    <x v="3"/>
    <x v="1"/>
    <n v="300"/>
    <x v="0"/>
    <n v="300"/>
    <n v="432600"/>
    <n v="9"/>
    <n v="0.09"/>
    <x v="0"/>
  </r>
  <r>
    <s v="A099"/>
    <x v="25"/>
    <s v="P099"/>
    <x v="0"/>
    <x v="0"/>
    <x v="0"/>
    <n v="800"/>
    <x v="1"/>
    <n v="0"/>
    <n v="432600"/>
    <n v="9"/>
    <n v="0.09"/>
    <x v="1"/>
  </r>
  <r>
    <s v="A100"/>
    <x v="25"/>
    <s v="P100"/>
    <x v="2"/>
    <x v="2"/>
    <x v="2"/>
    <n v="22000"/>
    <x v="0"/>
    <n v="22000"/>
    <n v="432600"/>
    <n v="9"/>
    <n v="0.0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B2E8C9-A096-4E51-AFCA-06B9A5629EF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D14:H20" firstHeaderRow="1" firstDataRow="2" firstDataCol="1"/>
  <pivotFields count="13">
    <pivotField dataField="1" showAll="0"/>
    <pivotField numFmtId="14" showAll="0"/>
    <pivotField showAll="0"/>
    <pivotField showAll="0">
      <items count="5">
        <item x="1"/>
        <item x="0"/>
        <item x="3"/>
        <item x="2"/>
        <item t="default"/>
      </items>
    </pivotField>
    <pivotField axis="axisRow" showAll="0">
      <items count="5">
        <item x="0"/>
        <item x="3"/>
        <item x="2"/>
        <item x="1"/>
        <item t="default"/>
      </items>
    </pivotField>
    <pivotField showAll="0"/>
    <pivotField showAll="0"/>
    <pivotField axis="axisCol" showAll="0">
      <items count="4">
        <item x="2"/>
        <item x="0"/>
        <item x="1"/>
        <item t="default"/>
      </items>
    </pivotField>
    <pivotField showAll="0"/>
    <pivotField numFmtId="164" showAll="0"/>
    <pivotField showAll="0"/>
    <pivotField numFmtId="9" showAll="0"/>
    <pivotField showAll="0"/>
  </pivotFields>
  <rowFields count="1">
    <field x="4"/>
  </rowFields>
  <rowItems count="5">
    <i>
      <x/>
    </i>
    <i>
      <x v="1"/>
    </i>
    <i>
      <x v="2"/>
    </i>
    <i>
      <x v="3"/>
    </i>
    <i t="grand">
      <x/>
    </i>
  </rowItems>
  <colFields count="1">
    <field x="7"/>
  </colFields>
  <colItems count="4">
    <i>
      <x/>
    </i>
    <i>
      <x v="1"/>
    </i>
    <i>
      <x v="2"/>
    </i>
    <i t="grand">
      <x/>
    </i>
  </colItems>
  <dataFields count="1">
    <dataField name="Count of Appointm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0C1336-874E-4805-B391-0445384FDE8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G4:H9" firstHeaderRow="1" firstDataRow="1" firstDataCol="1"/>
  <pivotFields count="13">
    <pivotField dataField="1" showAll="0"/>
    <pivotField showAll="0"/>
    <pivotField showAll="0"/>
    <pivotField axis="axisRow" showAll="0">
      <items count="5">
        <item x="1"/>
        <item x="0"/>
        <item x="3"/>
        <item x="2"/>
        <item t="default"/>
      </items>
    </pivotField>
    <pivotField showAll="0">
      <items count="5">
        <item x="0"/>
        <item x="3"/>
        <item x="2"/>
        <item x="1"/>
        <item t="default"/>
      </items>
    </pivotField>
    <pivotField showAll="0"/>
    <pivotField showAll="0"/>
    <pivotField showAll="0">
      <items count="4">
        <item x="2"/>
        <item x="0"/>
        <item x="1"/>
        <item t="default"/>
      </items>
    </pivotField>
    <pivotField showAll="0"/>
    <pivotField showAll="0"/>
    <pivotField showAll="0"/>
    <pivotField numFmtId="9" showAll="0"/>
    <pivotField showAll="0"/>
  </pivotFields>
  <rowFields count="1">
    <field x="3"/>
  </rowFields>
  <rowItems count="5">
    <i>
      <x/>
    </i>
    <i>
      <x v="1"/>
    </i>
    <i>
      <x v="2"/>
    </i>
    <i>
      <x v="3"/>
    </i>
    <i t="grand">
      <x/>
    </i>
  </rowItems>
  <colItems count="1">
    <i/>
  </colItems>
  <dataFields count="1">
    <dataField name="Total Appointments" fld="0" subtotal="count"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201F53-0A24-4413-9AE3-7F10A46A7C6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4:C9" firstHeaderRow="1" firstDataRow="1" firstDataCol="1"/>
  <pivotFields count="13">
    <pivotField showAll="0"/>
    <pivotField numFmtId="14" showAll="0"/>
    <pivotField showAll="0"/>
    <pivotField showAll="0">
      <items count="5">
        <item x="1"/>
        <item x="0"/>
        <item x="3"/>
        <item x="2"/>
        <item t="default"/>
      </items>
    </pivotField>
    <pivotField axis="axisRow" showAll="0">
      <items count="5">
        <item x="0"/>
        <item x="3"/>
        <item x="2"/>
        <item x="1"/>
        <item t="default"/>
      </items>
    </pivotField>
    <pivotField showAll="0"/>
    <pivotField showAll="0"/>
    <pivotField showAll="0">
      <items count="4">
        <item x="2"/>
        <item x="0"/>
        <item x="1"/>
        <item t="default"/>
      </items>
    </pivotField>
    <pivotField dataField="1" showAll="0"/>
    <pivotField numFmtId="164" showAll="0"/>
    <pivotField showAll="0"/>
    <pivotField numFmtId="9" showAll="0"/>
    <pivotField showAll="0"/>
  </pivotFields>
  <rowFields count="1">
    <field x="4"/>
  </rowFields>
  <rowItems count="5">
    <i>
      <x/>
    </i>
    <i>
      <x v="1"/>
    </i>
    <i>
      <x v="2"/>
    </i>
    <i>
      <x v="3"/>
    </i>
    <i t="grand">
      <x/>
    </i>
  </rowItems>
  <colItems count="1">
    <i/>
  </colItems>
  <dataFields count="1">
    <dataField name="Dept wise_Revenue" fld="8" baseField="0" baseItem="0"/>
  </dataFields>
  <formats count="1">
    <format dxfId="0">
      <pivotArea outline="0" collapsedLevelsAreSubtotals="1" fieldPosition="0"/>
    </format>
  </format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4C63BC-1EFF-45EA-889B-B522D508CD6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I27:J31" firstHeaderRow="1" firstDataRow="1" firstDataCol="1"/>
  <pivotFields count="13">
    <pivotField dataField="1" showAll="0"/>
    <pivotField numFmtId="14" showAll="0"/>
    <pivotField showAll="0"/>
    <pivotField showAll="0">
      <items count="5">
        <item x="1"/>
        <item x="0"/>
        <item x="3"/>
        <item x="2"/>
        <item t="default"/>
      </items>
    </pivotField>
    <pivotField showAll="0">
      <items count="5">
        <item x="0"/>
        <item x="3"/>
        <item x="2"/>
        <item x="1"/>
        <item t="default"/>
      </items>
    </pivotField>
    <pivotField showAll="0"/>
    <pivotField showAll="0"/>
    <pivotField axis="axisRow" showAll="0">
      <items count="4">
        <item x="2"/>
        <item x="0"/>
        <item x="1"/>
        <item t="default"/>
      </items>
    </pivotField>
    <pivotField showAll="0"/>
    <pivotField numFmtId="164" showAll="0"/>
    <pivotField showAll="0"/>
    <pivotField numFmtId="9" showAll="0"/>
    <pivotField showAll="0"/>
  </pivotFields>
  <rowFields count="1">
    <field x="7"/>
  </rowFields>
  <rowItems count="4">
    <i>
      <x/>
    </i>
    <i>
      <x v="1"/>
    </i>
    <i>
      <x v="2"/>
    </i>
    <i t="grand">
      <x/>
    </i>
  </rowItems>
  <colItems count="1">
    <i/>
  </colItems>
  <dataFields count="1">
    <dataField name="Total Appointments" fld="0" subtotal="count" baseField="0" baseItem="0"/>
  </dataFields>
  <formats count="3">
    <format dxfId="3">
      <pivotArea outline="0" collapsedLevelsAreSubtotals="1" fieldPosition="0"/>
    </format>
    <format dxfId="2">
      <pivotArea collapsedLevelsAreSubtotals="1" fieldPosition="0">
        <references count="2">
          <reference field="4294967294" count="1" selected="0">
            <x v="0"/>
          </reference>
          <reference field="7" count="0"/>
        </references>
      </pivotArea>
    </format>
    <format dxfId="1">
      <pivotArea field="7" grandRow="1" outline="0" collapsedLevelsAreSubtotals="1" axis="axisRow" fieldPosition="0">
        <references count="1">
          <reference field="4294967294" count="1" selected="0">
            <x v="0"/>
          </reference>
        </references>
      </pivotArea>
    </format>
  </format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7" count="1" selected="0">
            <x v="0"/>
          </reference>
        </references>
      </pivotArea>
    </chartFormat>
    <chartFormat chart="7" format="7">
      <pivotArea type="data" outline="0" fieldPosition="0">
        <references count="2">
          <reference field="4294967294" count="1" selected="0">
            <x v="0"/>
          </reference>
          <reference field="7" count="1" selected="0">
            <x v="1"/>
          </reference>
        </references>
      </pivotArea>
    </chartFormat>
    <chartFormat chart="7"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24ADB6-84F6-4E2B-B9AF-431B22BF23C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ate">
  <location ref="B24:C51" firstHeaderRow="1" firstDataRow="1" firstDataCol="1"/>
  <pivotFields count="13">
    <pivotField showAll="0"/>
    <pivotField axis="axisRow" numFmtId="14"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items count="5">
        <item x="1"/>
        <item x="0"/>
        <item x="3"/>
        <item x="2"/>
        <item t="default"/>
      </items>
    </pivotField>
    <pivotField showAll="0">
      <items count="5">
        <item x="0"/>
        <item x="3"/>
        <item x="2"/>
        <item x="1"/>
        <item t="default"/>
      </items>
    </pivotField>
    <pivotField showAll="0">
      <items count="4">
        <item x="0"/>
        <item x="1"/>
        <item x="2"/>
        <item t="default"/>
      </items>
    </pivotField>
    <pivotField showAll="0"/>
    <pivotField showAll="0">
      <items count="4">
        <item x="2"/>
        <item x="0"/>
        <item x="1"/>
        <item t="default"/>
      </items>
    </pivotField>
    <pivotField dataField="1" showAll="0"/>
    <pivotField numFmtId="164" showAll="0"/>
    <pivotField showAll="0"/>
    <pivotField numFmtId="9" showAll="0"/>
    <pivotField showAll="0">
      <items count="3">
        <item x="0"/>
        <item x="1"/>
        <item t="default"/>
      </items>
    </pivotField>
  </pivotFields>
  <rowFields count="1">
    <field x="1"/>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Revenue2" fld="8"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Name" xr10:uid="{E4FCFDC2-BE07-4399-BE44-8F089B4E1DE8}" sourceName="Doctor_Name">
  <pivotTables>
    <pivotTable tabId="4" name="PivotTable6"/>
    <pivotTable tabId="4" name="PivotTable3"/>
    <pivotTable tabId="4" name="PivotTable4"/>
    <pivotTable tabId="4" name="PivotTable5"/>
    <pivotTable tabId="4" name="PivotTable7"/>
  </pivotTables>
  <data>
    <tabular pivotCacheId="2135797545">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B14BD52-8BE6-49B3-92FC-D4FD2175BE11}" sourceName="Department">
  <pivotTables>
    <pivotTable tabId="4" name="PivotTable6"/>
    <pivotTable tabId="4" name="PivotTable3"/>
    <pivotTable tabId="4" name="PivotTable4"/>
    <pivotTable tabId="4" name="PivotTable5"/>
    <pivotTable tabId="4" name="PivotTable7"/>
  </pivotTables>
  <data>
    <tabular pivotCacheId="2135797545">
      <items count="4">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7C2A8C4E-1BD1-4FC5-8D55-BEE075A04609}" sourceName="Status">
  <pivotTables>
    <pivotTable tabId="4" name="PivotTable7"/>
    <pivotTable tabId="4" name="PivotTable3"/>
    <pivotTable tabId="4" name="PivotTable4"/>
    <pivotTable tabId="4" name="PivotTable5"/>
    <pivotTable tabId="4" name="PivotTable6"/>
  </pivotTables>
  <data>
    <tabular pivotCacheId="213579754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ctor_Name 1" xr10:uid="{F2E5EAC7-BCC4-4CCE-8A3A-D635B29978F7}" cache="Slicer_Doctor_Name" caption="Doctor Name" rowHeight="234950"/>
  <slicer name="Department 1" xr10:uid="{3E859525-3070-4F0D-973A-BE7C4E0D78F0}" cache="Slicer_Department" caption="Department" rowHeight="234950"/>
  <slicer name="Status 1" xr10:uid="{C03110C4-8285-438C-8F85-7AF6018A820A}" cache="Slicer_Status" caption="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3A72BB-04AE-4B79-950F-8FEB61969FC6}" name="Table4" displayName="Table4" ref="A1:M102" totalsRowCount="1" headerRowDxfId="12">
  <autoFilter ref="A1:M101" xr:uid="{E23A72BB-04AE-4B79-950F-8FEB61969FC6}"/>
  <tableColumns count="13">
    <tableColumn id="1" xr3:uid="{567F5210-8443-41FF-B4CE-C62CEB7777E2}" name="Appointment_ID"/>
    <tableColumn id="2" xr3:uid="{9AB92348-1946-4776-A04F-1BB0B7A255CC}" name="Date" dataDxfId="11" totalsRowDxfId="10"/>
    <tableColumn id="3" xr3:uid="{4377D6A2-F315-4C8A-B270-C31FAEDE9B5C}" name="Patient_ID"/>
    <tableColumn id="4" xr3:uid="{FB24D2F0-23E8-4ADA-BA01-FA701E047F12}" name="Doctor_Name"/>
    <tableColumn id="5" xr3:uid="{FA235C99-63AC-4994-BC5E-E27E2C72DE4F}" name="Department"/>
    <tableColumn id="6" xr3:uid="{85CABB09-149F-45F7-932D-4BD25A7EB4D0}" name="Appointment_Type"/>
    <tableColumn id="7" xr3:uid="{E76E5639-6DD8-4A29-8CF6-876BAF9D0534}" name="Fee"/>
    <tableColumn id="8" xr3:uid="{83FE379C-9B9D-4EF7-B694-FFDEFAD755A8}" name="Status"/>
    <tableColumn id="9" xr3:uid="{6AC931BC-D8CA-4F88-9346-CF46DADC27E0}" name="Revenue" dataDxfId="9">
      <calculatedColumnFormula>IF(Table4[[#This Row],[Status]]="Completed",Table4[[#This Row],[Fee]],0)</calculatedColumnFormula>
    </tableColumn>
    <tableColumn id="14" xr3:uid="{7758EE93-9627-417E-B160-3ABEDF594E05}" name="sum of Revenue" dataDxfId="8" totalsRowDxfId="7">
      <calculatedColumnFormula>SUM(Table4[Revenue])</calculatedColumnFormula>
    </tableColumn>
    <tableColumn id="17" xr3:uid="{F719DC3F-F4A9-4EEE-9D65-1C0F45853597}" name="Num_No shows" dataDxfId="6">
      <calculatedColumnFormula>COUNTIFS(Table4[Status],"No Show")</calculatedColumnFormula>
    </tableColumn>
    <tableColumn id="18" xr3:uid="{5CE2D345-5C71-4579-9082-DEF843E6B433}" name="No Show rate" dataDxfId="5">
      <calculatedColumnFormula>Table4[[#This Row],[Num_No shows]]/100</calculatedColumnFormula>
    </tableColumn>
    <tableColumn id="10" xr3:uid="{D0ECDDC7-528B-4836-A3FA-E34A095EB81A}" name="No Show_Flag Rate" dataDxfId="4">
      <calculatedColumnFormula>IF(Table4[[#This Row],[Status]]="No Show",1,0)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D9867-A38A-4A0A-840A-5C90BCF67685}">
  <dimension ref="A1:M102"/>
  <sheetViews>
    <sheetView topLeftCell="B77" workbookViewId="0">
      <selection activeCell="N13" sqref="N13"/>
    </sheetView>
  </sheetViews>
  <sheetFormatPr defaultRowHeight="14.4" x14ac:dyDescent="0.3"/>
  <cols>
    <col min="1" max="1" width="19.5546875" bestFit="1" customWidth="1"/>
    <col min="2" max="2" width="10.33203125" bestFit="1" customWidth="1"/>
    <col min="3" max="3" width="14.21875" bestFit="1" customWidth="1"/>
    <col min="4" max="4" width="17.109375" bestFit="1" customWidth="1"/>
    <col min="5" max="5" width="15.5546875" bestFit="1" customWidth="1"/>
    <col min="6" max="6" width="22" bestFit="1" customWidth="1"/>
    <col min="7" max="7" width="8.33203125" bestFit="1" customWidth="1"/>
    <col min="8" max="8" width="10.6640625" bestFit="1" customWidth="1"/>
    <col min="9" max="9" width="29.6640625" customWidth="1"/>
    <col min="10" max="10" width="11.88671875" style="5" bestFit="1" customWidth="1"/>
    <col min="11" max="11" width="14.77734375" customWidth="1"/>
    <col min="12" max="12" width="16.77734375" bestFit="1" customWidth="1"/>
  </cols>
  <sheetData>
    <row r="1" spans="1:13" x14ac:dyDescent="0.3">
      <c r="A1" s="1" t="s">
        <v>0</v>
      </c>
      <c r="B1" s="1" t="s">
        <v>1</v>
      </c>
      <c r="C1" s="1" t="s">
        <v>2</v>
      </c>
      <c r="D1" s="1" t="s">
        <v>3</v>
      </c>
      <c r="E1" s="1" t="s">
        <v>4</v>
      </c>
      <c r="F1" s="1" t="s">
        <v>5</v>
      </c>
      <c r="G1" s="1" t="s">
        <v>6</v>
      </c>
      <c r="H1" s="1" t="s">
        <v>7</v>
      </c>
      <c r="I1" s="1" t="s">
        <v>224</v>
      </c>
      <c r="J1" s="6" t="s">
        <v>225</v>
      </c>
      <c r="K1" s="1" t="s">
        <v>231</v>
      </c>
      <c r="L1" s="1" t="s">
        <v>230</v>
      </c>
      <c r="M1" s="1" t="s">
        <v>232</v>
      </c>
    </row>
    <row r="2" spans="1:13" x14ac:dyDescent="0.3">
      <c r="A2" t="s">
        <v>8</v>
      </c>
      <c r="B2" s="2">
        <v>45658</v>
      </c>
      <c r="C2" t="s">
        <v>9</v>
      </c>
      <c r="D2" t="s">
        <v>10</v>
      </c>
      <c r="E2" t="s">
        <v>11</v>
      </c>
      <c r="F2" t="s">
        <v>12</v>
      </c>
      <c r="G2">
        <v>800</v>
      </c>
      <c r="H2" t="s">
        <v>13</v>
      </c>
      <c r="I2">
        <f>IF(Table4[[#This Row],[Status]]="Completed",Table4[[#This Row],[Fee]],0)</f>
        <v>800</v>
      </c>
      <c r="J2" s="5">
        <f>SUM(Table4[Revenue])</f>
        <v>432600</v>
      </c>
      <c r="K2">
        <f>COUNTIFS(Table4[Status],"No Show")</f>
        <v>9</v>
      </c>
      <c r="L2" s="9">
        <f>Table4[[#This Row],[Num_No shows]]/100</f>
        <v>0.09</v>
      </c>
      <c r="M2">
        <f>IF(Table4[[#This Row],[Status]]="No Show",1,0)</f>
        <v>0</v>
      </c>
    </row>
    <row r="3" spans="1:13" x14ac:dyDescent="0.3">
      <c r="A3" t="s">
        <v>14</v>
      </c>
      <c r="B3" s="2">
        <v>45658</v>
      </c>
      <c r="C3" t="s">
        <v>15</v>
      </c>
      <c r="D3" t="s">
        <v>16</v>
      </c>
      <c r="E3" t="s">
        <v>17</v>
      </c>
      <c r="F3" t="s">
        <v>18</v>
      </c>
      <c r="G3">
        <v>500</v>
      </c>
      <c r="H3" t="s">
        <v>19</v>
      </c>
      <c r="I3">
        <f>IF(Table4[[#This Row],[Status]]="Completed",Table4[[#This Row],[Fee]],0)</f>
        <v>0</v>
      </c>
      <c r="J3" s="5">
        <f>SUM(Table4[Revenue])</f>
        <v>432600</v>
      </c>
      <c r="K3">
        <f>COUNTIFS(Table4[Status],"No Show")</f>
        <v>9</v>
      </c>
      <c r="L3" s="9">
        <f>Table4[[#This Row],[Num_No shows]]/100</f>
        <v>0.09</v>
      </c>
      <c r="M3">
        <f>IF(Table4[[#This Row],[Status]]="No Show",1,0)</f>
        <v>1</v>
      </c>
    </row>
    <row r="4" spans="1:13" x14ac:dyDescent="0.3">
      <c r="A4" t="s">
        <v>20</v>
      </c>
      <c r="B4" s="2">
        <v>45658</v>
      </c>
      <c r="C4" t="s">
        <v>21</v>
      </c>
      <c r="D4" t="s">
        <v>22</v>
      </c>
      <c r="E4" t="s">
        <v>23</v>
      </c>
      <c r="F4" t="s">
        <v>12</v>
      </c>
      <c r="G4">
        <v>1000</v>
      </c>
      <c r="H4" t="s">
        <v>13</v>
      </c>
      <c r="I4">
        <f>IF(Table4[[#This Row],[Status]]="Completed",Table4[[#This Row],[Fee]],0)</f>
        <v>1000</v>
      </c>
      <c r="J4" s="5">
        <f>SUM(Table4[Revenue])</f>
        <v>432600</v>
      </c>
      <c r="K4">
        <f>COUNTIFS(Table4[Status],"No Show")</f>
        <v>9</v>
      </c>
      <c r="L4" s="9">
        <f>Table4[[#This Row],[Num_No shows]]/100</f>
        <v>0.09</v>
      </c>
      <c r="M4">
        <f>IF(Table4[[#This Row],[Status]]="No Show",1,0)</f>
        <v>0</v>
      </c>
    </row>
    <row r="5" spans="1:13" x14ac:dyDescent="0.3">
      <c r="A5" t="s">
        <v>24</v>
      </c>
      <c r="B5" s="2">
        <v>45659</v>
      </c>
      <c r="C5" t="s">
        <v>25</v>
      </c>
      <c r="D5" t="s">
        <v>10</v>
      </c>
      <c r="E5" t="s">
        <v>11</v>
      </c>
      <c r="F5" t="s">
        <v>18</v>
      </c>
      <c r="G5">
        <v>400</v>
      </c>
      <c r="H5" t="s">
        <v>13</v>
      </c>
      <c r="I5">
        <f>IF(Table4[[#This Row],[Status]]="Completed",Table4[[#This Row],[Fee]],0)</f>
        <v>400</v>
      </c>
      <c r="J5" s="5">
        <f>SUM(Table4[Revenue])</f>
        <v>432600</v>
      </c>
      <c r="K5">
        <f>COUNTIFS(Table4[Status],"No Show")</f>
        <v>9</v>
      </c>
      <c r="L5" s="9">
        <f>Table4[[#This Row],[Num_No shows]]/100</f>
        <v>0.09</v>
      </c>
      <c r="M5">
        <f>IF(Table4[[#This Row],[Status]]="No Show",1,0)</f>
        <v>0</v>
      </c>
    </row>
    <row r="6" spans="1:13" x14ac:dyDescent="0.3">
      <c r="A6" t="s">
        <v>26</v>
      </c>
      <c r="B6" s="2">
        <v>45659</v>
      </c>
      <c r="C6" t="s">
        <v>27</v>
      </c>
      <c r="D6" t="s">
        <v>16</v>
      </c>
      <c r="E6" t="s">
        <v>17</v>
      </c>
      <c r="F6" t="s">
        <v>12</v>
      </c>
      <c r="G6">
        <v>700</v>
      </c>
      <c r="H6" t="s">
        <v>13</v>
      </c>
      <c r="I6">
        <f>IF(Table4[[#This Row],[Status]]="Completed",Table4[[#This Row],[Fee]],0)</f>
        <v>700</v>
      </c>
      <c r="J6" s="5">
        <f>SUM(Table4[Revenue])</f>
        <v>432600</v>
      </c>
      <c r="K6">
        <f>COUNTIFS(Table4[Status],"No Show")</f>
        <v>9</v>
      </c>
      <c r="L6" s="9">
        <f>Table4[[#This Row],[Num_No shows]]/100</f>
        <v>0.09</v>
      </c>
      <c r="M6">
        <f>IF(Table4[[#This Row],[Status]]="No Show",1,0)</f>
        <v>0</v>
      </c>
    </row>
    <row r="7" spans="1:13" x14ac:dyDescent="0.3">
      <c r="A7" t="s">
        <v>28</v>
      </c>
      <c r="B7" s="2">
        <v>45659</v>
      </c>
      <c r="C7" t="s">
        <v>29</v>
      </c>
      <c r="D7" t="s">
        <v>30</v>
      </c>
      <c r="E7" t="s">
        <v>31</v>
      </c>
      <c r="F7" t="s">
        <v>12</v>
      </c>
      <c r="G7">
        <v>500</v>
      </c>
      <c r="H7" t="s">
        <v>13</v>
      </c>
      <c r="I7">
        <f>IF(Table4[[#This Row],[Status]]="Completed",Table4[[#This Row],[Fee]],0)</f>
        <v>500</v>
      </c>
      <c r="J7" s="5">
        <f>SUM(Table4[Revenue])</f>
        <v>432600</v>
      </c>
      <c r="K7">
        <f>COUNTIFS(Table4[Status],"No Show")</f>
        <v>9</v>
      </c>
      <c r="L7" s="9">
        <f>Table4[[#This Row],[Num_No shows]]/100</f>
        <v>0.09</v>
      </c>
      <c r="M7">
        <f>IF(Table4[[#This Row],[Status]]="No Show",1,0)</f>
        <v>0</v>
      </c>
    </row>
    <row r="8" spans="1:13" x14ac:dyDescent="0.3">
      <c r="A8" t="s">
        <v>32</v>
      </c>
      <c r="B8" s="2">
        <v>45660</v>
      </c>
      <c r="C8" t="s">
        <v>33</v>
      </c>
      <c r="D8" t="s">
        <v>22</v>
      </c>
      <c r="E8" t="s">
        <v>23</v>
      </c>
      <c r="F8" t="s">
        <v>18</v>
      </c>
      <c r="G8">
        <v>600</v>
      </c>
      <c r="H8" t="s">
        <v>34</v>
      </c>
      <c r="I8">
        <f>IF(Table4[[#This Row],[Status]]="Completed",Table4[[#This Row],[Fee]],0)</f>
        <v>0</v>
      </c>
      <c r="J8" s="5">
        <f>SUM(Table4[Revenue])</f>
        <v>432600</v>
      </c>
      <c r="K8">
        <f>COUNTIFS(Table4[Status],"No Show")</f>
        <v>9</v>
      </c>
      <c r="L8" s="9">
        <f>Table4[[#This Row],[Num_No shows]]/100</f>
        <v>0.09</v>
      </c>
      <c r="M8">
        <f>IF(Table4[[#This Row],[Status]]="No Show",1,0)</f>
        <v>0</v>
      </c>
    </row>
    <row r="9" spans="1:13" x14ac:dyDescent="0.3">
      <c r="A9" t="s">
        <v>35</v>
      </c>
      <c r="B9" s="2">
        <v>45660</v>
      </c>
      <c r="C9" t="s">
        <v>36</v>
      </c>
      <c r="D9" t="s">
        <v>10</v>
      </c>
      <c r="E9" t="s">
        <v>11</v>
      </c>
      <c r="F9" t="s">
        <v>37</v>
      </c>
      <c r="G9">
        <v>20000</v>
      </c>
      <c r="H9" t="s">
        <v>13</v>
      </c>
      <c r="I9">
        <f>IF(Table4[[#This Row],[Status]]="Completed",Table4[[#This Row],[Fee]],0)</f>
        <v>20000</v>
      </c>
      <c r="J9" s="5">
        <f>SUM(Table4[Revenue])</f>
        <v>432600</v>
      </c>
      <c r="K9">
        <f>COUNTIFS(Table4[Status],"No Show")</f>
        <v>9</v>
      </c>
      <c r="L9" s="9">
        <f>Table4[[#This Row],[Num_No shows]]/100</f>
        <v>0.09</v>
      </c>
      <c r="M9">
        <f>IF(Table4[[#This Row],[Status]]="No Show",1,0)</f>
        <v>0</v>
      </c>
    </row>
    <row r="10" spans="1:13" x14ac:dyDescent="0.3">
      <c r="A10" t="s">
        <v>38</v>
      </c>
      <c r="B10" s="2">
        <v>45660</v>
      </c>
      <c r="C10" t="s">
        <v>39</v>
      </c>
      <c r="D10" t="s">
        <v>16</v>
      </c>
      <c r="E10" t="s">
        <v>17</v>
      </c>
      <c r="F10" t="s">
        <v>37</v>
      </c>
      <c r="G10">
        <v>15000</v>
      </c>
      <c r="H10" t="s">
        <v>13</v>
      </c>
      <c r="I10">
        <f>IF(Table4[[#This Row],[Status]]="Completed",Table4[[#This Row],[Fee]],0)</f>
        <v>15000</v>
      </c>
      <c r="J10" s="5">
        <f>SUM(Table4[Revenue])</f>
        <v>432600</v>
      </c>
      <c r="K10">
        <f>COUNTIFS(Table4[Status],"No Show")</f>
        <v>9</v>
      </c>
      <c r="L10" s="9">
        <f>Table4[[#This Row],[Num_No shows]]/100</f>
        <v>0.09</v>
      </c>
      <c r="M10">
        <f>IF(Table4[[#This Row],[Status]]="No Show",1,0)</f>
        <v>0</v>
      </c>
    </row>
    <row r="11" spans="1:13" x14ac:dyDescent="0.3">
      <c r="A11" t="s">
        <v>40</v>
      </c>
      <c r="B11" s="2">
        <v>45660</v>
      </c>
      <c r="C11" t="s">
        <v>41</v>
      </c>
      <c r="D11" t="s">
        <v>30</v>
      </c>
      <c r="E11" t="s">
        <v>31</v>
      </c>
      <c r="F11" t="s">
        <v>18</v>
      </c>
      <c r="G11">
        <v>300</v>
      </c>
      <c r="H11" t="s">
        <v>13</v>
      </c>
      <c r="I11">
        <f>IF(Table4[[#This Row],[Status]]="Completed",Table4[[#This Row],[Fee]],0)</f>
        <v>300</v>
      </c>
      <c r="J11" s="5">
        <f>SUM(Table4[Revenue])</f>
        <v>432600</v>
      </c>
      <c r="K11">
        <f>COUNTIFS(Table4[Status],"No Show")</f>
        <v>9</v>
      </c>
      <c r="L11" s="9">
        <f>Table4[[#This Row],[Num_No shows]]/100</f>
        <v>0.09</v>
      </c>
      <c r="M11">
        <f>IF(Table4[[#This Row],[Status]]="No Show",1,0)</f>
        <v>0</v>
      </c>
    </row>
    <row r="12" spans="1:13" x14ac:dyDescent="0.3">
      <c r="A12" t="s">
        <v>42</v>
      </c>
      <c r="B12" s="2">
        <v>45661</v>
      </c>
      <c r="C12" t="s">
        <v>43</v>
      </c>
      <c r="D12" t="s">
        <v>10</v>
      </c>
      <c r="E12" t="s">
        <v>11</v>
      </c>
      <c r="F12" t="s">
        <v>12</v>
      </c>
      <c r="G12">
        <v>800</v>
      </c>
      <c r="H12" t="s">
        <v>19</v>
      </c>
      <c r="I12">
        <f>IF(Table4[[#This Row],[Status]]="Completed",Table4[[#This Row],[Fee]],0)</f>
        <v>0</v>
      </c>
      <c r="J12" s="5">
        <f>SUM(Table4[Revenue])</f>
        <v>432600</v>
      </c>
      <c r="K12">
        <f>COUNTIFS(Table4[Status],"No Show")</f>
        <v>9</v>
      </c>
      <c r="L12" s="9">
        <f>Table4[[#This Row],[Num_No shows]]/100</f>
        <v>0.09</v>
      </c>
      <c r="M12">
        <f>IF(Table4[[#This Row],[Status]]="No Show",1,0)</f>
        <v>1</v>
      </c>
    </row>
    <row r="13" spans="1:13" x14ac:dyDescent="0.3">
      <c r="A13" t="s">
        <v>44</v>
      </c>
      <c r="B13" s="2">
        <v>45661</v>
      </c>
      <c r="C13" t="s">
        <v>45</v>
      </c>
      <c r="D13" t="s">
        <v>22</v>
      </c>
      <c r="E13" t="s">
        <v>23</v>
      </c>
      <c r="F13" t="s">
        <v>12</v>
      </c>
      <c r="G13">
        <v>1000</v>
      </c>
      <c r="H13" t="s">
        <v>13</v>
      </c>
      <c r="I13">
        <f>IF(Table4[[#This Row],[Status]]="Completed",Table4[[#This Row],[Fee]],0)</f>
        <v>1000</v>
      </c>
      <c r="J13" s="5">
        <f>SUM(Table4[Revenue])</f>
        <v>432600</v>
      </c>
      <c r="K13">
        <f>COUNTIFS(Table4[Status],"No Show")</f>
        <v>9</v>
      </c>
      <c r="L13" s="9">
        <f>Table4[[#This Row],[Num_No shows]]/100</f>
        <v>0.09</v>
      </c>
      <c r="M13">
        <f>IF(Table4[[#This Row],[Status]]="No Show",1,0)</f>
        <v>0</v>
      </c>
    </row>
    <row r="14" spans="1:13" x14ac:dyDescent="0.3">
      <c r="A14" t="s">
        <v>46</v>
      </c>
      <c r="B14" s="2">
        <v>45661</v>
      </c>
      <c r="C14" t="s">
        <v>47</v>
      </c>
      <c r="D14" t="s">
        <v>16</v>
      </c>
      <c r="E14" t="s">
        <v>17</v>
      </c>
      <c r="F14" t="s">
        <v>18</v>
      </c>
      <c r="G14">
        <v>500</v>
      </c>
      <c r="H14" t="s">
        <v>13</v>
      </c>
      <c r="I14">
        <f>IF(Table4[[#This Row],[Status]]="Completed",Table4[[#This Row],[Fee]],0)</f>
        <v>500</v>
      </c>
      <c r="J14" s="5">
        <f>SUM(Table4[Revenue])</f>
        <v>432600</v>
      </c>
      <c r="K14">
        <f>COUNTIFS(Table4[Status],"No Show")</f>
        <v>9</v>
      </c>
      <c r="L14" s="9">
        <f>Table4[[#This Row],[Num_No shows]]/100</f>
        <v>0.09</v>
      </c>
      <c r="M14">
        <f>IF(Table4[[#This Row],[Status]]="No Show",1,0)</f>
        <v>0</v>
      </c>
    </row>
    <row r="15" spans="1:13" x14ac:dyDescent="0.3">
      <c r="A15" t="s">
        <v>48</v>
      </c>
      <c r="B15" s="2">
        <v>45661</v>
      </c>
      <c r="C15" t="s">
        <v>49</v>
      </c>
      <c r="D15" t="s">
        <v>30</v>
      </c>
      <c r="E15" t="s">
        <v>31</v>
      </c>
      <c r="F15" t="s">
        <v>12</v>
      </c>
      <c r="G15">
        <v>500</v>
      </c>
      <c r="H15" t="s">
        <v>13</v>
      </c>
      <c r="I15">
        <f>IF(Table4[[#This Row],[Status]]="Completed",Table4[[#This Row],[Fee]],0)</f>
        <v>500</v>
      </c>
      <c r="J15" s="5">
        <f>SUM(Table4[Revenue])</f>
        <v>432600</v>
      </c>
      <c r="K15">
        <f>COUNTIFS(Table4[Status],"No Show")</f>
        <v>9</v>
      </c>
      <c r="L15" s="9">
        <f>Table4[[#This Row],[Num_No shows]]/100</f>
        <v>0.09</v>
      </c>
      <c r="M15">
        <f>IF(Table4[[#This Row],[Status]]="No Show",1,0)</f>
        <v>0</v>
      </c>
    </row>
    <row r="16" spans="1:13" x14ac:dyDescent="0.3">
      <c r="A16" t="s">
        <v>50</v>
      </c>
      <c r="B16" s="2">
        <v>45662</v>
      </c>
      <c r="C16" t="s">
        <v>51</v>
      </c>
      <c r="D16" t="s">
        <v>10</v>
      </c>
      <c r="E16" t="s">
        <v>11</v>
      </c>
      <c r="F16" t="s">
        <v>12</v>
      </c>
      <c r="G16">
        <v>800</v>
      </c>
      <c r="H16" t="s">
        <v>13</v>
      </c>
      <c r="I16">
        <f>IF(Table4[[#This Row],[Status]]="Completed",Table4[[#This Row],[Fee]],0)</f>
        <v>800</v>
      </c>
      <c r="J16" s="5">
        <f>SUM(Table4[Revenue])</f>
        <v>432600</v>
      </c>
      <c r="K16">
        <f>COUNTIFS(Table4[Status],"No Show")</f>
        <v>9</v>
      </c>
      <c r="L16" s="9">
        <f>Table4[[#This Row],[Num_No shows]]/100</f>
        <v>0.09</v>
      </c>
      <c r="M16">
        <f>IF(Table4[[#This Row],[Status]]="No Show",1,0)</f>
        <v>0</v>
      </c>
    </row>
    <row r="17" spans="1:13" x14ac:dyDescent="0.3">
      <c r="A17" t="s">
        <v>52</v>
      </c>
      <c r="B17" s="2">
        <v>45662</v>
      </c>
      <c r="C17" t="s">
        <v>53</v>
      </c>
      <c r="D17" t="s">
        <v>22</v>
      </c>
      <c r="E17" t="s">
        <v>23</v>
      </c>
      <c r="F17" t="s">
        <v>37</v>
      </c>
      <c r="G17">
        <v>18000</v>
      </c>
      <c r="H17" t="s">
        <v>13</v>
      </c>
      <c r="I17">
        <f>IF(Table4[[#This Row],[Status]]="Completed",Table4[[#This Row],[Fee]],0)</f>
        <v>18000</v>
      </c>
      <c r="J17" s="5">
        <f>SUM(Table4[Revenue])</f>
        <v>432600</v>
      </c>
      <c r="K17">
        <f>COUNTIFS(Table4[Status],"No Show")</f>
        <v>9</v>
      </c>
      <c r="L17" s="9">
        <f>Table4[[#This Row],[Num_No shows]]/100</f>
        <v>0.09</v>
      </c>
      <c r="M17">
        <f>IF(Table4[[#This Row],[Status]]="No Show",1,0)</f>
        <v>0</v>
      </c>
    </row>
    <row r="18" spans="1:13" x14ac:dyDescent="0.3">
      <c r="A18" t="s">
        <v>54</v>
      </c>
      <c r="B18" s="2">
        <v>45662</v>
      </c>
      <c r="C18" t="s">
        <v>55</v>
      </c>
      <c r="D18" t="s">
        <v>16</v>
      </c>
      <c r="E18" t="s">
        <v>17</v>
      </c>
      <c r="F18" t="s">
        <v>12</v>
      </c>
      <c r="G18">
        <v>700</v>
      </c>
      <c r="H18" t="s">
        <v>19</v>
      </c>
      <c r="I18">
        <f>IF(Table4[[#This Row],[Status]]="Completed",Table4[[#This Row],[Fee]],0)</f>
        <v>0</v>
      </c>
      <c r="J18" s="5">
        <f>SUM(Table4[Revenue])</f>
        <v>432600</v>
      </c>
      <c r="K18">
        <f>COUNTIFS(Table4[Status],"No Show")</f>
        <v>9</v>
      </c>
      <c r="L18" s="9">
        <f>Table4[[#This Row],[Num_No shows]]/100</f>
        <v>0.09</v>
      </c>
      <c r="M18">
        <f>IF(Table4[[#This Row],[Status]]="No Show",1,0)</f>
        <v>1</v>
      </c>
    </row>
    <row r="19" spans="1:13" x14ac:dyDescent="0.3">
      <c r="A19" t="s">
        <v>56</v>
      </c>
      <c r="B19" s="2">
        <v>45662</v>
      </c>
      <c r="C19" t="s">
        <v>57</v>
      </c>
      <c r="D19" t="s">
        <v>30</v>
      </c>
      <c r="E19" t="s">
        <v>31</v>
      </c>
      <c r="F19" t="s">
        <v>18</v>
      </c>
      <c r="G19">
        <v>300</v>
      </c>
      <c r="H19" t="s">
        <v>13</v>
      </c>
      <c r="I19">
        <f>IF(Table4[[#This Row],[Status]]="Completed",Table4[[#This Row],[Fee]],0)</f>
        <v>300</v>
      </c>
      <c r="J19" s="5">
        <f>SUM(Table4[Revenue])</f>
        <v>432600</v>
      </c>
      <c r="K19">
        <f>COUNTIFS(Table4[Status],"No Show")</f>
        <v>9</v>
      </c>
      <c r="L19" s="9">
        <f>Table4[[#This Row],[Num_No shows]]/100</f>
        <v>0.09</v>
      </c>
      <c r="M19">
        <f>IF(Table4[[#This Row],[Status]]="No Show",1,0)</f>
        <v>0</v>
      </c>
    </row>
    <row r="20" spans="1:13" x14ac:dyDescent="0.3">
      <c r="A20" t="s">
        <v>58</v>
      </c>
      <c r="B20" s="2">
        <v>45663</v>
      </c>
      <c r="C20" t="s">
        <v>59</v>
      </c>
      <c r="D20" t="s">
        <v>10</v>
      </c>
      <c r="E20" t="s">
        <v>11</v>
      </c>
      <c r="F20" t="s">
        <v>18</v>
      </c>
      <c r="G20">
        <v>400</v>
      </c>
      <c r="H20" t="s">
        <v>13</v>
      </c>
      <c r="I20">
        <f>IF(Table4[[#This Row],[Status]]="Completed",Table4[[#This Row],[Fee]],0)</f>
        <v>400</v>
      </c>
      <c r="J20" s="5">
        <f>SUM(Table4[Revenue])</f>
        <v>432600</v>
      </c>
      <c r="K20">
        <f>COUNTIFS(Table4[Status],"No Show")</f>
        <v>9</v>
      </c>
      <c r="L20" s="9">
        <f>Table4[[#This Row],[Num_No shows]]/100</f>
        <v>0.09</v>
      </c>
      <c r="M20">
        <f>IF(Table4[[#This Row],[Status]]="No Show",1,0)</f>
        <v>0</v>
      </c>
    </row>
    <row r="21" spans="1:13" x14ac:dyDescent="0.3">
      <c r="A21" t="s">
        <v>60</v>
      </c>
      <c r="B21" s="2">
        <v>45663</v>
      </c>
      <c r="C21" t="s">
        <v>61</v>
      </c>
      <c r="D21" t="s">
        <v>22</v>
      </c>
      <c r="E21" t="s">
        <v>23</v>
      </c>
      <c r="F21" t="s">
        <v>12</v>
      </c>
      <c r="G21">
        <v>1000</v>
      </c>
      <c r="H21" t="s">
        <v>13</v>
      </c>
      <c r="I21">
        <f>IF(Table4[[#This Row],[Status]]="Completed",Table4[[#This Row],[Fee]],0)</f>
        <v>1000</v>
      </c>
      <c r="J21" s="5">
        <f>SUM(Table4[Revenue])</f>
        <v>432600</v>
      </c>
      <c r="K21">
        <f>COUNTIFS(Table4[Status],"No Show")</f>
        <v>9</v>
      </c>
      <c r="L21" s="9">
        <f>Table4[[#This Row],[Num_No shows]]/100</f>
        <v>0.09</v>
      </c>
      <c r="M21">
        <f>IF(Table4[[#This Row],[Status]]="No Show",1,0)</f>
        <v>0</v>
      </c>
    </row>
    <row r="22" spans="1:13" x14ac:dyDescent="0.3">
      <c r="A22" t="s">
        <v>62</v>
      </c>
      <c r="B22" s="2">
        <v>45663</v>
      </c>
      <c r="C22" t="s">
        <v>63</v>
      </c>
      <c r="D22" t="s">
        <v>16</v>
      </c>
      <c r="E22" t="s">
        <v>17</v>
      </c>
      <c r="F22" t="s">
        <v>12</v>
      </c>
      <c r="G22">
        <v>700</v>
      </c>
      <c r="H22" t="s">
        <v>13</v>
      </c>
      <c r="I22">
        <f>IF(Table4[[#This Row],[Status]]="Completed",Table4[[#This Row],[Fee]],0)</f>
        <v>700</v>
      </c>
      <c r="J22" s="5">
        <f>SUM(Table4[Revenue])</f>
        <v>432600</v>
      </c>
      <c r="K22">
        <f>COUNTIFS(Table4[Status],"No Show")</f>
        <v>9</v>
      </c>
      <c r="L22" s="9">
        <f>Table4[[#This Row],[Num_No shows]]/100</f>
        <v>0.09</v>
      </c>
      <c r="M22">
        <f>IF(Table4[[#This Row],[Status]]="No Show",1,0)</f>
        <v>0</v>
      </c>
    </row>
    <row r="23" spans="1:13" x14ac:dyDescent="0.3">
      <c r="A23" t="s">
        <v>64</v>
      </c>
      <c r="B23" s="2">
        <v>45663</v>
      </c>
      <c r="C23" t="s">
        <v>65</v>
      </c>
      <c r="D23" t="s">
        <v>30</v>
      </c>
      <c r="E23" t="s">
        <v>31</v>
      </c>
      <c r="F23" t="s">
        <v>12</v>
      </c>
      <c r="G23">
        <v>500</v>
      </c>
      <c r="H23" t="s">
        <v>34</v>
      </c>
      <c r="I23">
        <f>IF(Table4[[#This Row],[Status]]="Completed",Table4[[#This Row],[Fee]],0)</f>
        <v>0</v>
      </c>
      <c r="J23" s="5">
        <f>SUM(Table4[Revenue])</f>
        <v>432600</v>
      </c>
      <c r="K23">
        <f>COUNTIFS(Table4[Status],"No Show")</f>
        <v>9</v>
      </c>
      <c r="L23" s="9">
        <f>Table4[[#This Row],[Num_No shows]]/100</f>
        <v>0.09</v>
      </c>
      <c r="M23">
        <f>IF(Table4[[#This Row],[Status]]="No Show",1,0)</f>
        <v>0</v>
      </c>
    </row>
    <row r="24" spans="1:13" x14ac:dyDescent="0.3">
      <c r="A24" t="s">
        <v>66</v>
      </c>
      <c r="B24" s="2">
        <v>45664</v>
      </c>
      <c r="C24" t="s">
        <v>67</v>
      </c>
      <c r="D24" t="s">
        <v>10</v>
      </c>
      <c r="E24" t="s">
        <v>11</v>
      </c>
      <c r="F24" t="s">
        <v>37</v>
      </c>
      <c r="G24">
        <v>22000</v>
      </c>
      <c r="H24" t="s">
        <v>13</v>
      </c>
      <c r="I24">
        <f>IF(Table4[[#This Row],[Status]]="Completed",Table4[[#This Row],[Fee]],0)</f>
        <v>22000</v>
      </c>
      <c r="J24" s="5">
        <f>SUM(Table4[Revenue])</f>
        <v>432600</v>
      </c>
      <c r="K24">
        <f>COUNTIFS(Table4[Status],"No Show")</f>
        <v>9</v>
      </c>
      <c r="L24" s="9">
        <f>Table4[[#This Row],[Num_No shows]]/100</f>
        <v>0.09</v>
      </c>
      <c r="M24">
        <f>IF(Table4[[#This Row],[Status]]="No Show",1,0)</f>
        <v>0</v>
      </c>
    </row>
    <row r="25" spans="1:13" x14ac:dyDescent="0.3">
      <c r="A25" t="s">
        <v>68</v>
      </c>
      <c r="B25" s="2">
        <v>45664</v>
      </c>
      <c r="C25" t="s">
        <v>69</v>
      </c>
      <c r="D25" t="s">
        <v>22</v>
      </c>
      <c r="E25" t="s">
        <v>23</v>
      </c>
      <c r="F25" t="s">
        <v>18</v>
      </c>
      <c r="G25">
        <v>600</v>
      </c>
      <c r="H25" t="s">
        <v>13</v>
      </c>
      <c r="I25">
        <f>IF(Table4[[#This Row],[Status]]="Completed",Table4[[#This Row],[Fee]],0)</f>
        <v>600</v>
      </c>
      <c r="J25" s="5">
        <f>SUM(Table4[Revenue])</f>
        <v>432600</v>
      </c>
      <c r="K25">
        <f>COUNTIFS(Table4[Status],"No Show")</f>
        <v>9</v>
      </c>
      <c r="L25" s="9">
        <f>Table4[[#This Row],[Num_No shows]]/100</f>
        <v>0.09</v>
      </c>
      <c r="M25">
        <f>IF(Table4[[#This Row],[Status]]="No Show",1,0)</f>
        <v>0</v>
      </c>
    </row>
    <row r="26" spans="1:13" x14ac:dyDescent="0.3">
      <c r="A26" t="s">
        <v>70</v>
      </c>
      <c r="B26" s="2">
        <v>45664</v>
      </c>
      <c r="C26" t="s">
        <v>71</v>
      </c>
      <c r="D26" t="s">
        <v>16</v>
      </c>
      <c r="E26" t="s">
        <v>17</v>
      </c>
      <c r="F26" t="s">
        <v>18</v>
      </c>
      <c r="G26">
        <v>500</v>
      </c>
      <c r="H26" t="s">
        <v>13</v>
      </c>
      <c r="I26">
        <f>IF(Table4[[#This Row],[Status]]="Completed",Table4[[#This Row],[Fee]],0)</f>
        <v>500</v>
      </c>
      <c r="J26" s="5">
        <f>SUM(Table4[Revenue])</f>
        <v>432600</v>
      </c>
      <c r="K26">
        <f>COUNTIFS(Table4[Status],"No Show")</f>
        <v>9</v>
      </c>
      <c r="L26" s="9">
        <f>Table4[[#This Row],[Num_No shows]]/100</f>
        <v>0.09</v>
      </c>
      <c r="M26">
        <f>IF(Table4[[#This Row],[Status]]="No Show",1,0)</f>
        <v>0</v>
      </c>
    </row>
    <row r="27" spans="1:13" x14ac:dyDescent="0.3">
      <c r="A27" t="s">
        <v>72</v>
      </c>
      <c r="B27" s="2">
        <v>45664</v>
      </c>
      <c r="C27" t="s">
        <v>73</v>
      </c>
      <c r="D27" t="s">
        <v>30</v>
      </c>
      <c r="E27" t="s">
        <v>31</v>
      </c>
      <c r="F27" t="s">
        <v>12</v>
      </c>
      <c r="G27">
        <v>500</v>
      </c>
      <c r="H27" t="s">
        <v>13</v>
      </c>
      <c r="I27">
        <f>IF(Table4[[#This Row],[Status]]="Completed",Table4[[#This Row],[Fee]],0)</f>
        <v>500</v>
      </c>
      <c r="J27" s="5">
        <f>SUM(Table4[Revenue])</f>
        <v>432600</v>
      </c>
      <c r="K27">
        <f>COUNTIFS(Table4[Status],"No Show")</f>
        <v>9</v>
      </c>
      <c r="L27" s="9">
        <f>Table4[[#This Row],[Num_No shows]]/100</f>
        <v>0.09</v>
      </c>
      <c r="M27">
        <f>IF(Table4[[#This Row],[Status]]="No Show",1,0)</f>
        <v>0</v>
      </c>
    </row>
    <row r="28" spans="1:13" x14ac:dyDescent="0.3">
      <c r="A28" t="s">
        <v>74</v>
      </c>
      <c r="B28" s="2">
        <v>45665</v>
      </c>
      <c r="C28" t="s">
        <v>75</v>
      </c>
      <c r="D28" t="s">
        <v>10</v>
      </c>
      <c r="E28" t="s">
        <v>11</v>
      </c>
      <c r="F28" t="s">
        <v>12</v>
      </c>
      <c r="G28">
        <v>800</v>
      </c>
      <c r="H28" t="s">
        <v>13</v>
      </c>
      <c r="I28">
        <f>IF(Table4[[#This Row],[Status]]="Completed",Table4[[#This Row],[Fee]],0)</f>
        <v>800</v>
      </c>
      <c r="J28" s="5">
        <f>SUM(Table4[Revenue])</f>
        <v>432600</v>
      </c>
      <c r="K28">
        <f>COUNTIFS(Table4[Status],"No Show")</f>
        <v>9</v>
      </c>
      <c r="L28" s="9">
        <f>Table4[[#This Row],[Num_No shows]]/100</f>
        <v>0.09</v>
      </c>
      <c r="M28">
        <f>IF(Table4[[#This Row],[Status]]="No Show",1,0)</f>
        <v>0</v>
      </c>
    </row>
    <row r="29" spans="1:13" x14ac:dyDescent="0.3">
      <c r="A29" t="s">
        <v>76</v>
      </c>
      <c r="B29" s="2">
        <v>45665</v>
      </c>
      <c r="C29" t="s">
        <v>77</v>
      </c>
      <c r="D29" t="s">
        <v>22</v>
      </c>
      <c r="E29" t="s">
        <v>23</v>
      </c>
      <c r="F29" t="s">
        <v>12</v>
      </c>
      <c r="G29">
        <v>1000</v>
      </c>
      <c r="H29" t="s">
        <v>19</v>
      </c>
      <c r="I29">
        <f>IF(Table4[[#This Row],[Status]]="Completed",Table4[[#This Row],[Fee]],0)</f>
        <v>0</v>
      </c>
      <c r="J29" s="5">
        <f>SUM(Table4[Revenue])</f>
        <v>432600</v>
      </c>
      <c r="K29">
        <f>COUNTIFS(Table4[Status],"No Show")</f>
        <v>9</v>
      </c>
      <c r="L29" s="9">
        <f>Table4[[#This Row],[Num_No shows]]/100</f>
        <v>0.09</v>
      </c>
      <c r="M29">
        <f>IF(Table4[[#This Row],[Status]]="No Show",1,0)</f>
        <v>1</v>
      </c>
    </row>
    <row r="30" spans="1:13" x14ac:dyDescent="0.3">
      <c r="A30" t="s">
        <v>78</v>
      </c>
      <c r="B30" s="2">
        <v>45665</v>
      </c>
      <c r="C30" t="s">
        <v>79</v>
      </c>
      <c r="D30" t="s">
        <v>16</v>
      </c>
      <c r="E30" t="s">
        <v>17</v>
      </c>
      <c r="F30" t="s">
        <v>37</v>
      </c>
      <c r="G30">
        <v>16000</v>
      </c>
      <c r="H30" t="s">
        <v>13</v>
      </c>
      <c r="I30">
        <f>IF(Table4[[#This Row],[Status]]="Completed",Table4[[#This Row],[Fee]],0)</f>
        <v>16000</v>
      </c>
      <c r="J30" s="5">
        <f>SUM(Table4[Revenue])</f>
        <v>432600</v>
      </c>
      <c r="K30">
        <f>COUNTIFS(Table4[Status],"No Show")</f>
        <v>9</v>
      </c>
      <c r="L30" s="9">
        <f>Table4[[#This Row],[Num_No shows]]/100</f>
        <v>0.09</v>
      </c>
      <c r="M30">
        <f>IF(Table4[[#This Row],[Status]]="No Show",1,0)</f>
        <v>0</v>
      </c>
    </row>
    <row r="31" spans="1:13" x14ac:dyDescent="0.3">
      <c r="A31" t="s">
        <v>80</v>
      </c>
      <c r="B31" s="2">
        <v>45665</v>
      </c>
      <c r="C31" t="s">
        <v>81</v>
      </c>
      <c r="D31" t="s">
        <v>30</v>
      </c>
      <c r="E31" t="s">
        <v>31</v>
      </c>
      <c r="F31" t="s">
        <v>18</v>
      </c>
      <c r="G31">
        <v>300</v>
      </c>
      <c r="H31" t="s">
        <v>13</v>
      </c>
      <c r="I31">
        <f>IF(Table4[[#This Row],[Status]]="Completed",Table4[[#This Row],[Fee]],0)</f>
        <v>300</v>
      </c>
      <c r="J31" s="5">
        <f>SUM(Table4[Revenue])</f>
        <v>432600</v>
      </c>
      <c r="K31">
        <f>COUNTIFS(Table4[Status],"No Show")</f>
        <v>9</v>
      </c>
      <c r="L31" s="9">
        <f>Table4[[#This Row],[Num_No shows]]/100</f>
        <v>0.09</v>
      </c>
      <c r="M31">
        <f>IF(Table4[[#This Row],[Status]]="No Show",1,0)</f>
        <v>0</v>
      </c>
    </row>
    <row r="32" spans="1:13" x14ac:dyDescent="0.3">
      <c r="A32" t="s">
        <v>82</v>
      </c>
      <c r="B32" s="2">
        <v>45666</v>
      </c>
      <c r="C32" t="s">
        <v>83</v>
      </c>
      <c r="D32" t="s">
        <v>10</v>
      </c>
      <c r="E32" t="s">
        <v>11</v>
      </c>
      <c r="F32" t="s">
        <v>18</v>
      </c>
      <c r="G32">
        <v>400</v>
      </c>
      <c r="H32" t="s">
        <v>13</v>
      </c>
      <c r="I32">
        <f>IF(Table4[[#This Row],[Status]]="Completed",Table4[[#This Row],[Fee]],0)</f>
        <v>400</v>
      </c>
      <c r="J32" s="5">
        <f>SUM(Table4[Revenue])</f>
        <v>432600</v>
      </c>
      <c r="K32">
        <f>COUNTIFS(Table4[Status],"No Show")</f>
        <v>9</v>
      </c>
      <c r="L32" s="9">
        <f>Table4[[#This Row],[Num_No shows]]/100</f>
        <v>0.09</v>
      </c>
      <c r="M32">
        <f>IF(Table4[[#This Row],[Status]]="No Show",1,0)</f>
        <v>0</v>
      </c>
    </row>
    <row r="33" spans="1:13" x14ac:dyDescent="0.3">
      <c r="A33" t="s">
        <v>84</v>
      </c>
      <c r="B33" s="2">
        <v>45666</v>
      </c>
      <c r="C33" t="s">
        <v>85</v>
      </c>
      <c r="D33" t="s">
        <v>22</v>
      </c>
      <c r="E33" t="s">
        <v>23</v>
      </c>
      <c r="F33" t="s">
        <v>37</v>
      </c>
      <c r="G33">
        <v>19000</v>
      </c>
      <c r="H33" t="s">
        <v>13</v>
      </c>
      <c r="I33">
        <f>IF(Table4[[#This Row],[Status]]="Completed",Table4[[#This Row],[Fee]],0)</f>
        <v>19000</v>
      </c>
      <c r="J33" s="5">
        <f>SUM(Table4[Revenue])</f>
        <v>432600</v>
      </c>
      <c r="K33">
        <f>COUNTIFS(Table4[Status],"No Show")</f>
        <v>9</v>
      </c>
      <c r="L33" s="9">
        <f>Table4[[#This Row],[Num_No shows]]/100</f>
        <v>0.09</v>
      </c>
      <c r="M33">
        <f>IF(Table4[[#This Row],[Status]]="No Show",1,0)</f>
        <v>0</v>
      </c>
    </row>
    <row r="34" spans="1:13" x14ac:dyDescent="0.3">
      <c r="A34" t="s">
        <v>86</v>
      </c>
      <c r="B34" s="2">
        <v>45666</v>
      </c>
      <c r="C34" t="s">
        <v>87</v>
      </c>
      <c r="D34" t="s">
        <v>16</v>
      </c>
      <c r="E34" t="s">
        <v>17</v>
      </c>
      <c r="F34" t="s">
        <v>12</v>
      </c>
      <c r="G34">
        <v>700</v>
      </c>
      <c r="H34" t="s">
        <v>13</v>
      </c>
      <c r="I34">
        <f>IF(Table4[[#This Row],[Status]]="Completed",Table4[[#This Row],[Fee]],0)</f>
        <v>700</v>
      </c>
      <c r="J34" s="5">
        <f>SUM(Table4[Revenue])</f>
        <v>432600</v>
      </c>
      <c r="K34">
        <f>COUNTIFS(Table4[Status],"No Show")</f>
        <v>9</v>
      </c>
      <c r="L34" s="9">
        <f>Table4[[#This Row],[Num_No shows]]/100</f>
        <v>0.09</v>
      </c>
      <c r="M34">
        <f>IF(Table4[[#This Row],[Status]]="No Show",1,0)</f>
        <v>0</v>
      </c>
    </row>
    <row r="35" spans="1:13" x14ac:dyDescent="0.3">
      <c r="A35" t="s">
        <v>88</v>
      </c>
      <c r="B35" s="2">
        <v>45666</v>
      </c>
      <c r="C35" t="s">
        <v>89</v>
      </c>
      <c r="D35" t="s">
        <v>30</v>
      </c>
      <c r="E35" t="s">
        <v>31</v>
      </c>
      <c r="F35" t="s">
        <v>12</v>
      </c>
      <c r="G35">
        <v>500</v>
      </c>
      <c r="H35" t="s">
        <v>13</v>
      </c>
      <c r="I35">
        <f>IF(Table4[[#This Row],[Status]]="Completed",Table4[[#This Row],[Fee]],0)</f>
        <v>500</v>
      </c>
      <c r="J35" s="5">
        <f>SUM(Table4[Revenue])</f>
        <v>432600</v>
      </c>
      <c r="K35">
        <f>COUNTIFS(Table4[Status],"No Show")</f>
        <v>9</v>
      </c>
      <c r="L35" s="9">
        <f>Table4[[#This Row],[Num_No shows]]/100</f>
        <v>0.09</v>
      </c>
      <c r="M35">
        <f>IF(Table4[[#This Row],[Status]]="No Show",1,0)</f>
        <v>0</v>
      </c>
    </row>
    <row r="36" spans="1:13" x14ac:dyDescent="0.3">
      <c r="A36" t="s">
        <v>90</v>
      </c>
      <c r="B36" s="2">
        <v>45667</v>
      </c>
      <c r="C36" t="s">
        <v>91</v>
      </c>
      <c r="D36" t="s">
        <v>10</v>
      </c>
      <c r="E36" t="s">
        <v>11</v>
      </c>
      <c r="F36" t="s">
        <v>12</v>
      </c>
      <c r="G36">
        <v>800</v>
      </c>
      <c r="H36" t="s">
        <v>13</v>
      </c>
      <c r="I36">
        <f>IF(Table4[[#This Row],[Status]]="Completed",Table4[[#This Row],[Fee]],0)</f>
        <v>800</v>
      </c>
      <c r="J36" s="5">
        <f>SUM(Table4[Revenue])</f>
        <v>432600</v>
      </c>
      <c r="K36">
        <f>COUNTIFS(Table4[Status],"No Show")</f>
        <v>9</v>
      </c>
      <c r="L36" s="9">
        <f>Table4[[#This Row],[Num_No shows]]/100</f>
        <v>0.09</v>
      </c>
      <c r="M36">
        <f>IF(Table4[[#This Row],[Status]]="No Show",1,0)</f>
        <v>0</v>
      </c>
    </row>
    <row r="37" spans="1:13" x14ac:dyDescent="0.3">
      <c r="A37" t="s">
        <v>92</v>
      </c>
      <c r="B37" s="2">
        <v>45667</v>
      </c>
      <c r="C37" t="s">
        <v>93</v>
      </c>
      <c r="D37" t="s">
        <v>22</v>
      </c>
      <c r="E37" t="s">
        <v>23</v>
      </c>
      <c r="F37" t="s">
        <v>18</v>
      </c>
      <c r="G37">
        <v>600</v>
      </c>
      <c r="H37" t="s">
        <v>34</v>
      </c>
      <c r="I37">
        <f>IF(Table4[[#This Row],[Status]]="Completed",Table4[[#This Row],[Fee]],0)</f>
        <v>0</v>
      </c>
      <c r="J37" s="5">
        <f>SUM(Table4[Revenue])</f>
        <v>432600</v>
      </c>
      <c r="K37">
        <f>COUNTIFS(Table4[Status],"No Show")</f>
        <v>9</v>
      </c>
      <c r="L37" s="9">
        <f>Table4[[#This Row],[Num_No shows]]/100</f>
        <v>0.09</v>
      </c>
      <c r="M37">
        <f>IF(Table4[[#This Row],[Status]]="No Show",1,0)</f>
        <v>0</v>
      </c>
    </row>
    <row r="38" spans="1:13" x14ac:dyDescent="0.3">
      <c r="A38" t="s">
        <v>94</v>
      </c>
      <c r="B38" s="2">
        <v>45667</v>
      </c>
      <c r="C38" t="s">
        <v>95</v>
      </c>
      <c r="D38" t="s">
        <v>16</v>
      </c>
      <c r="E38" t="s">
        <v>17</v>
      </c>
      <c r="F38" t="s">
        <v>18</v>
      </c>
      <c r="G38">
        <v>500</v>
      </c>
      <c r="H38" t="s">
        <v>13</v>
      </c>
      <c r="I38">
        <f>IF(Table4[[#This Row],[Status]]="Completed",Table4[[#This Row],[Fee]],0)</f>
        <v>500</v>
      </c>
      <c r="J38" s="5">
        <f>SUM(Table4[Revenue])</f>
        <v>432600</v>
      </c>
      <c r="K38">
        <f>COUNTIFS(Table4[Status],"No Show")</f>
        <v>9</v>
      </c>
      <c r="L38" s="9">
        <f>Table4[[#This Row],[Num_No shows]]/100</f>
        <v>0.09</v>
      </c>
      <c r="M38">
        <f>IF(Table4[[#This Row],[Status]]="No Show",1,0)</f>
        <v>0</v>
      </c>
    </row>
    <row r="39" spans="1:13" x14ac:dyDescent="0.3">
      <c r="A39" t="s">
        <v>96</v>
      </c>
      <c r="B39" s="2">
        <v>45667</v>
      </c>
      <c r="C39" t="s">
        <v>97</v>
      </c>
      <c r="D39" t="s">
        <v>30</v>
      </c>
      <c r="E39" t="s">
        <v>31</v>
      </c>
      <c r="F39" t="s">
        <v>12</v>
      </c>
      <c r="G39">
        <v>500</v>
      </c>
      <c r="H39" t="s">
        <v>13</v>
      </c>
      <c r="I39">
        <f>IF(Table4[[#This Row],[Status]]="Completed",Table4[[#This Row],[Fee]],0)</f>
        <v>500</v>
      </c>
      <c r="J39" s="5">
        <f>SUM(Table4[Revenue])</f>
        <v>432600</v>
      </c>
      <c r="K39">
        <f>COUNTIFS(Table4[Status],"No Show")</f>
        <v>9</v>
      </c>
      <c r="L39" s="9">
        <f>Table4[[#This Row],[Num_No shows]]/100</f>
        <v>0.09</v>
      </c>
      <c r="M39">
        <f>IF(Table4[[#This Row],[Status]]="No Show",1,0)</f>
        <v>0</v>
      </c>
    </row>
    <row r="40" spans="1:13" x14ac:dyDescent="0.3">
      <c r="A40" t="s">
        <v>98</v>
      </c>
      <c r="B40" s="2">
        <v>45668</v>
      </c>
      <c r="C40" t="s">
        <v>99</v>
      </c>
      <c r="D40" t="s">
        <v>10</v>
      </c>
      <c r="E40" t="s">
        <v>11</v>
      </c>
      <c r="F40" t="s">
        <v>37</v>
      </c>
      <c r="G40">
        <v>21000</v>
      </c>
      <c r="H40" t="s">
        <v>13</v>
      </c>
      <c r="I40">
        <f>IF(Table4[[#This Row],[Status]]="Completed",Table4[[#This Row],[Fee]],0)</f>
        <v>21000</v>
      </c>
      <c r="J40" s="5">
        <f>SUM(Table4[Revenue])</f>
        <v>432600</v>
      </c>
      <c r="K40">
        <f>COUNTIFS(Table4[Status],"No Show")</f>
        <v>9</v>
      </c>
      <c r="L40" s="9">
        <f>Table4[[#This Row],[Num_No shows]]/100</f>
        <v>0.09</v>
      </c>
      <c r="M40">
        <f>IF(Table4[[#This Row],[Status]]="No Show",1,0)</f>
        <v>0</v>
      </c>
    </row>
    <row r="41" spans="1:13" x14ac:dyDescent="0.3">
      <c r="A41" t="s">
        <v>100</v>
      </c>
      <c r="B41" s="2">
        <v>45668</v>
      </c>
      <c r="C41" t="s">
        <v>101</v>
      </c>
      <c r="D41" t="s">
        <v>22</v>
      </c>
      <c r="E41" t="s">
        <v>23</v>
      </c>
      <c r="F41" t="s">
        <v>12</v>
      </c>
      <c r="G41">
        <v>1000</v>
      </c>
      <c r="H41" t="s">
        <v>13</v>
      </c>
      <c r="I41">
        <f>IF(Table4[[#This Row],[Status]]="Completed",Table4[[#This Row],[Fee]],0)</f>
        <v>1000</v>
      </c>
      <c r="J41" s="5">
        <f>SUM(Table4[Revenue])</f>
        <v>432600</v>
      </c>
      <c r="K41">
        <f>COUNTIFS(Table4[Status],"No Show")</f>
        <v>9</v>
      </c>
      <c r="L41" s="9">
        <f>Table4[[#This Row],[Num_No shows]]/100</f>
        <v>0.09</v>
      </c>
      <c r="M41">
        <f>IF(Table4[[#This Row],[Status]]="No Show",1,0)</f>
        <v>0</v>
      </c>
    </row>
    <row r="42" spans="1:13" x14ac:dyDescent="0.3">
      <c r="A42" t="s">
        <v>102</v>
      </c>
      <c r="B42" s="2">
        <v>45668</v>
      </c>
      <c r="C42" t="s">
        <v>103</v>
      </c>
      <c r="D42" t="s">
        <v>16</v>
      </c>
      <c r="E42" t="s">
        <v>17</v>
      </c>
      <c r="F42" t="s">
        <v>12</v>
      </c>
      <c r="G42">
        <v>700</v>
      </c>
      <c r="H42" t="s">
        <v>19</v>
      </c>
      <c r="I42">
        <f>IF(Table4[[#This Row],[Status]]="Completed",Table4[[#This Row],[Fee]],0)</f>
        <v>0</v>
      </c>
      <c r="J42" s="5">
        <f>SUM(Table4[Revenue])</f>
        <v>432600</v>
      </c>
      <c r="K42">
        <f>COUNTIFS(Table4[Status],"No Show")</f>
        <v>9</v>
      </c>
      <c r="L42" s="9">
        <f>Table4[[#This Row],[Num_No shows]]/100</f>
        <v>0.09</v>
      </c>
      <c r="M42">
        <f>IF(Table4[[#This Row],[Status]]="No Show",1,0)</f>
        <v>1</v>
      </c>
    </row>
    <row r="43" spans="1:13" x14ac:dyDescent="0.3">
      <c r="A43" t="s">
        <v>104</v>
      </c>
      <c r="B43" s="2">
        <v>45668</v>
      </c>
      <c r="C43" t="s">
        <v>105</v>
      </c>
      <c r="D43" t="s">
        <v>30</v>
      </c>
      <c r="E43" t="s">
        <v>31</v>
      </c>
      <c r="F43" t="s">
        <v>18</v>
      </c>
      <c r="G43">
        <v>300</v>
      </c>
      <c r="H43" t="s">
        <v>13</v>
      </c>
      <c r="I43">
        <f>IF(Table4[[#This Row],[Status]]="Completed",Table4[[#This Row],[Fee]],0)</f>
        <v>300</v>
      </c>
      <c r="J43" s="5">
        <f>SUM(Table4[Revenue])</f>
        <v>432600</v>
      </c>
      <c r="K43">
        <f>COUNTIFS(Table4[Status],"No Show")</f>
        <v>9</v>
      </c>
      <c r="L43" s="9">
        <f>Table4[[#This Row],[Num_No shows]]/100</f>
        <v>0.09</v>
      </c>
      <c r="M43">
        <f>IF(Table4[[#This Row],[Status]]="No Show",1,0)</f>
        <v>0</v>
      </c>
    </row>
    <row r="44" spans="1:13" x14ac:dyDescent="0.3">
      <c r="A44" t="s">
        <v>106</v>
      </c>
      <c r="B44" s="2">
        <v>45669</v>
      </c>
      <c r="C44" t="s">
        <v>107</v>
      </c>
      <c r="D44" t="s">
        <v>10</v>
      </c>
      <c r="E44" t="s">
        <v>11</v>
      </c>
      <c r="F44" t="s">
        <v>12</v>
      </c>
      <c r="G44">
        <v>800</v>
      </c>
      <c r="H44" t="s">
        <v>13</v>
      </c>
      <c r="I44">
        <f>IF(Table4[[#This Row],[Status]]="Completed",Table4[[#This Row],[Fee]],0)</f>
        <v>800</v>
      </c>
      <c r="J44" s="5">
        <f>SUM(Table4[Revenue])</f>
        <v>432600</v>
      </c>
      <c r="K44">
        <f>COUNTIFS(Table4[Status],"No Show")</f>
        <v>9</v>
      </c>
      <c r="L44" s="9">
        <f>Table4[[#This Row],[Num_No shows]]/100</f>
        <v>0.09</v>
      </c>
      <c r="M44">
        <f>IF(Table4[[#This Row],[Status]]="No Show",1,0)</f>
        <v>0</v>
      </c>
    </row>
    <row r="45" spans="1:13" x14ac:dyDescent="0.3">
      <c r="A45" t="s">
        <v>108</v>
      </c>
      <c r="B45" s="2">
        <v>45669</v>
      </c>
      <c r="C45" t="s">
        <v>109</v>
      </c>
      <c r="D45" t="s">
        <v>22</v>
      </c>
      <c r="E45" t="s">
        <v>23</v>
      </c>
      <c r="F45" t="s">
        <v>37</v>
      </c>
      <c r="G45">
        <v>20000</v>
      </c>
      <c r="H45" t="s">
        <v>13</v>
      </c>
      <c r="I45">
        <f>IF(Table4[[#This Row],[Status]]="Completed",Table4[[#This Row],[Fee]],0)</f>
        <v>20000</v>
      </c>
      <c r="J45" s="5">
        <f>SUM(Table4[Revenue])</f>
        <v>432600</v>
      </c>
      <c r="K45">
        <f>COUNTIFS(Table4[Status],"No Show")</f>
        <v>9</v>
      </c>
      <c r="L45" s="9">
        <f>Table4[[#This Row],[Num_No shows]]/100</f>
        <v>0.09</v>
      </c>
      <c r="M45">
        <f>IF(Table4[[#This Row],[Status]]="No Show",1,0)</f>
        <v>0</v>
      </c>
    </row>
    <row r="46" spans="1:13" x14ac:dyDescent="0.3">
      <c r="A46" t="s">
        <v>110</v>
      </c>
      <c r="B46" s="2">
        <v>45669</v>
      </c>
      <c r="C46" t="s">
        <v>111</v>
      </c>
      <c r="D46" t="s">
        <v>16</v>
      </c>
      <c r="E46" t="s">
        <v>17</v>
      </c>
      <c r="F46" t="s">
        <v>18</v>
      </c>
      <c r="G46">
        <v>500</v>
      </c>
      <c r="H46" t="s">
        <v>13</v>
      </c>
      <c r="I46">
        <f>IF(Table4[[#This Row],[Status]]="Completed",Table4[[#This Row],[Fee]],0)</f>
        <v>500</v>
      </c>
      <c r="J46" s="5">
        <f>SUM(Table4[Revenue])</f>
        <v>432600</v>
      </c>
      <c r="K46">
        <f>COUNTIFS(Table4[Status],"No Show")</f>
        <v>9</v>
      </c>
      <c r="L46" s="9">
        <f>Table4[[#This Row],[Num_No shows]]/100</f>
        <v>0.09</v>
      </c>
      <c r="M46">
        <f>IF(Table4[[#This Row],[Status]]="No Show",1,0)</f>
        <v>0</v>
      </c>
    </row>
    <row r="47" spans="1:13" x14ac:dyDescent="0.3">
      <c r="A47" t="s">
        <v>112</v>
      </c>
      <c r="B47" s="2">
        <v>45669</v>
      </c>
      <c r="C47" t="s">
        <v>113</v>
      </c>
      <c r="D47" t="s">
        <v>30</v>
      </c>
      <c r="E47" t="s">
        <v>31</v>
      </c>
      <c r="F47" t="s">
        <v>12</v>
      </c>
      <c r="G47">
        <v>500</v>
      </c>
      <c r="H47" t="s">
        <v>13</v>
      </c>
      <c r="I47">
        <f>IF(Table4[[#This Row],[Status]]="Completed",Table4[[#This Row],[Fee]],0)</f>
        <v>500</v>
      </c>
      <c r="J47" s="5">
        <f>SUM(Table4[Revenue])</f>
        <v>432600</v>
      </c>
      <c r="K47">
        <f>COUNTIFS(Table4[Status],"No Show")</f>
        <v>9</v>
      </c>
      <c r="L47" s="9">
        <f>Table4[[#This Row],[Num_No shows]]/100</f>
        <v>0.09</v>
      </c>
      <c r="M47">
        <f>IF(Table4[[#This Row],[Status]]="No Show",1,0)</f>
        <v>0</v>
      </c>
    </row>
    <row r="48" spans="1:13" x14ac:dyDescent="0.3">
      <c r="A48" t="s">
        <v>114</v>
      </c>
      <c r="B48" s="2">
        <v>45670</v>
      </c>
      <c r="C48" t="s">
        <v>115</v>
      </c>
      <c r="D48" t="s">
        <v>10</v>
      </c>
      <c r="E48" t="s">
        <v>11</v>
      </c>
      <c r="F48" t="s">
        <v>18</v>
      </c>
      <c r="G48">
        <v>400</v>
      </c>
      <c r="H48" t="s">
        <v>13</v>
      </c>
      <c r="I48">
        <f>IF(Table4[[#This Row],[Status]]="Completed",Table4[[#This Row],[Fee]],0)</f>
        <v>400</v>
      </c>
      <c r="J48" s="5">
        <f>SUM(Table4[Revenue])</f>
        <v>432600</v>
      </c>
      <c r="K48">
        <f>COUNTIFS(Table4[Status],"No Show")</f>
        <v>9</v>
      </c>
      <c r="L48" s="9">
        <f>Table4[[#This Row],[Num_No shows]]/100</f>
        <v>0.09</v>
      </c>
      <c r="M48">
        <f>IF(Table4[[#This Row],[Status]]="No Show",1,0)</f>
        <v>0</v>
      </c>
    </row>
    <row r="49" spans="1:13" x14ac:dyDescent="0.3">
      <c r="A49" t="s">
        <v>116</v>
      </c>
      <c r="B49" s="2">
        <v>45670</v>
      </c>
      <c r="C49" t="s">
        <v>117</v>
      </c>
      <c r="D49" t="s">
        <v>22</v>
      </c>
      <c r="E49" t="s">
        <v>23</v>
      </c>
      <c r="F49" t="s">
        <v>12</v>
      </c>
      <c r="G49">
        <v>1000</v>
      </c>
      <c r="H49" t="s">
        <v>13</v>
      </c>
      <c r="I49">
        <f>IF(Table4[[#This Row],[Status]]="Completed",Table4[[#This Row],[Fee]],0)</f>
        <v>1000</v>
      </c>
      <c r="J49" s="5">
        <f>SUM(Table4[Revenue])</f>
        <v>432600</v>
      </c>
      <c r="K49">
        <f>COUNTIFS(Table4[Status],"No Show")</f>
        <v>9</v>
      </c>
      <c r="L49" s="9">
        <f>Table4[[#This Row],[Num_No shows]]/100</f>
        <v>0.09</v>
      </c>
      <c r="M49">
        <f>IF(Table4[[#This Row],[Status]]="No Show",1,0)</f>
        <v>0</v>
      </c>
    </row>
    <row r="50" spans="1:13" x14ac:dyDescent="0.3">
      <c r="A50" t="s">
        <v>118</v>
      </c>
      <c r="B50" s="2">
        <v>45670</v>
      </c>
      <c r="C50" t="s">
        <v>119</v>
      </c>
      <c r="D50" t="s">
        <v>16</v>
      </c>
      <c r="E50" t="s">
        <v>17</v>
      </c>
      <c r="F50" t="s">
        <v>37</v>
      </c>
      <c r="G50">
        <v>15500</v>
      </c>
      <c r="H50" t="s">
        <v>13</v>
      </c>
      <c r="I50">
        <f>IF(Table4[[#This Row],[Status]]="Completed",Table4[[#This Row],[Fee]],0)</f>
        <v>15500</v>
      </c>
      <c r="J50" s="5">
        <f>SUM(Table4[Revenue])</f>
        <v>432600</v>
      </c>
      <c r="K50">
        <f>COUNTIFS(Table4[Status],"No Show")</f>
        <v>9</v>
      </c>
      <c r="L50" s="9">
        <f>Table4[[#This Row],[Num_No shows]]/100</f>
        <v>0.09</v>
      </c>
      <c r="M50">
        <f>IF(Table4[[#This Row],[Status]]="No Show",1,0)</f>
        <v>0</v>
      </c>
    </row>
    <row r="51" spans="1:13" x14ac:dyDescent="0.3">
      <c r="A51" t="s">
        <v>120</v>
      </c>
      <c r="B51" s="2">
        <v>45670</v>
      </c>
      <c r="C51" t="s">
        <v>121</v>
      </c>
      <c r="D51" t="s">
        <v>30</v>
      </c>
      <c r="E51" t="s">
        <v>31</v>
      </c>
      <c r="F51" t="s">
        <v>12</v>
      </c>
      <c r="G51">
        <v>500</v>
      </c>
      <c r="H51" t="s">
        <v>34</v>
      </c>
      <c r="I51">
        <f>IF(Table4[[#This Row],[Status]]="Completed",Table4[[#This Row],[Fee]],0)</f>
        <v>0</v>
      </c>
      <c r="J51" s="5">
        <f>SUM(Table4[Revenue])</f>
        <v>432600</v>
      </c>
      <c r="K51">
        <f>COUNTIFS(Table4[Status],"No Show")</f>
        <v>9</v>
      </c>
      <c r="L51" s="9">
        <f>Table4[[#This Row],[Num_No shows]]/100</f>
        <v>0.09</v>
      </c>
      <c r="M51">
        <f>IF(Table4[[#This Row],[Status]]="No Show",1,0)</f>
        <v>0</v>
      </c>
    </row>
    <row r="52" spans="1:13" x14ac:dyDescent="0.3">
      <c r="A52" t="s">
        <v>122</v>
      </c>
      <c r="B52" s="2">
        <v>45671</v>
      </c>
      <c r="C52" t="s">
        <v>123</v>
      </c>
      <c r="D52" t="s">
        <v>10</v>
      </c>
      <c r="E52" t="s">
        <v>11</v>
      </c>
      <c r="F52" t="s">
        <v>12</v>
      </c>
      <c r="G52">
        <v>800</v>
      </c>
      <c r="H52" t="s">
        <v>13</v>
      </c>
      <c r="I52">
        <f>IF(Table4[[#This Row],[Status]]="Completed",Table4[[#This Row],[Fee]],0)</f>
        <v>800</v>
      </c>
      <c r="J52" s="5">
        <f>SUM(Table4[Revenue])</f>
        <v>432600</v>
      </c>
      <c r="K52">
        <f>COUNTIFS(Table4[Status],"No Show")</f>
        <v>9</v>
      </c>
      <c r="L52" s="9">
        <f>Table4[[#This Row],[Num_No shows]]/100</f>
        <v>0.09</v>
      </c>
      <c r="M52">
        <f>IF(Table4[[#This Row],[Status]]="No Show",1,0)</f>
        <v>0</v>
      </c>
    </row>
    <row r="53" spans="1:13" x14ac:dyDescent="0.3">
      <c r="A53" t="s">
        <v>124</v>
      </c>
      <c r="B53" s="2">
        <v>45671</v>
      </c>
      <c r="C53" t="s">
        <v>125</v>
      </c>
      <c r="D53" t="s">
        <v>22</v>
      </c>
      <c r="E53" t="s">
        <v>23</v>
      </c>
      <c r="F53" t="s">
        <v>18</v>
      </c>
      <c r="G53">
        <v>600</v>
      </c>
      <c r="H53" t="s">
        <v>13</v>
      </c>
      <c r="I53">
        <f>IF(Table4[[#This Row],[Status]]="Completed",Table4[[#This Row],[Fee]],0)</f>
        <v>600</v>
      </c>
      <c r="J53" s="5">
        <f>SUM(Table4[Revenue])</f>
        <v>432600</v>
      </c>
      <c r="K53">
        <f>COUNTIFS(Table4[Status],"No Show")</f>
        <v>9</v>
      </c>
      <c r="L53" s="9">
        <f>Table4[[#This Row],[Num_No shows]]/100</f>
        <v>0.09</v>
      </c>
      <c r="M53">
        <f>IF(Table4[[#This Row],[Status]]="No Show",1,0)</f>
        <v>0</v>
      </c>
    </row>
    <row r="54" spans="1:13" x14ac:dyDescent="0.3">
      <c r="A54" t="s">
        <v>126</v>
      </c>
      <c r="B54" s="2">
        <v>45671</v>
      </c>
      <c r="C54" t="s">
        <v>127</v>
      </c>
      <c r="D54" t="s">
        <v>16</v>
      </c>
      <c r="E54" t="s">
        <v>17</v>
      </c>
      <c r="F54" t="s">
        <v>12</v>
      </c>
      <c r="G54">
        <v>700</v>
      </c>
      <c r="H54" t="s">
        <v>13</v>
      </c>
      <c r="I54">
        <f>IF(Table4[[#This Row],[Status]]="Completed",Table4[[#This Row],[Fee]],0)</f>
        <v>700</v>
      </c>
      <c r="J54" s="5">
        <f>SUM(Table4[Revenue])</f>
        <v>432600</v>
      </c>
      <c r="K54">
        <f>COUNTIFS(Table4[Status],"No Show")</f>
        <v>9</v>
      </c>
      <c r="L54" s="9">
        <f>Table4[[#This Row],[Num_No shows]]/100</f>
        <v>0.09</v>
      </c>
      <c r="M54">
        <f>IF(Table4[[#This Row],[Status]]="No Show",1,0)</f>
        <v>0</v>
      </c>
    </row>
    <row r="55" spans="1:13" x14ac:dyDescent="0.3">
      <c r="A55" t="s">
        <v>128</v>
      </c>
      <c r="B55" s="2">
        <v>45671</v>
      </c>
      <c r="C55" t="s">
        <v>129</v>
      </c>
      <c r="D55" t="s">
        <v>30</v>
      </c>
      <c r="E55" t="s">
        <v>31</v>
      </c>
      <c r="F55" t="s">
        <v>18</v>
      </c>
      <c r="G55">
        <v>300</v>
      </c>
      <c r="H55" t="s">
        <v>13</v>
      </c>
      <c r="I55">
        <f>IF(Table4[[#This Row],[Status]]="Completed",Table4[[#This Row],[Fee]],0)</f>
        <v>300</v>
      </c>
      <c r="J55" s="5">
        <f>SUM(Table4[Revenue])</f>
        <v>432600</v>
      </c>
      <c r="K55">
        <f>COUNTIFS(Table4[Status],"No Show")</f>
        <v>9</v>
      </c>
      <c r="L55" s="9">
        <f>Table4[[#This Row],[Num_No shows]]/100</f>
        <v>0.09</v>
      </c>
      <c r="M55">
        <f>IF(Table4[[#This Row],[Status]]="No Show",1,0)</f>
        <v>0</v>
      </c>
    </row>
    <row r="56" spans="1:13" x14ac:dyDescent="0.3">
      <c r="A56" t="s">
        <v>130</v>
      </c>
      <c r="B56" s="2">
        <v>45672</v>
      </c>
      <c r="C56" t="s">
        <v>131</v>
      </c>
      <c r="D56" t="s">
        <v>10</v>
      </c>
      <c r="E56" t="s">
        <v>11</v>
      </c>
      <c r="F56" t="s">
        <v>37</v>
      </c>
      <c r="G56">
        <v>23000</v>
      </c>
      <c r="H56" t="s">
        <v>13</v>
      </c>
      <c r="I56">
        <f>IF(Table4[[#This Row],[Status]]="Completed",Table4[[#This Row],[Fee]],0)</f>
        <v>23000</v>
      </c>
      <c r="J56" s="5">
        <f>SUM(Table4[Revenue])</f>
        <v>432600</v>
      </c>
      <c r="K56">
        <f>COUNTIFS(Table4[Status],"No Show")</f>
        <v>9</v>
      </c>
      <c r="L56" s="9">
        <f>Table4[[#This Row],[Num_No shows]]/100</f>
        <v>0.09</v>
      </c>
      <c r="M56">
        <f>IF(Table4[[#This Row],[Status]]="No Show",1,0)</f>
        <v>0</v>
      </c>
    </row>
    <row r="57" spans="1:13" x14ac:dyDescent="0.3">
      <c r="A57" t="s">
        <v>132</v>
      </c>
      <c r="B57" s="2">
        <v>45672</v>
      </c>
      <c r="C57" t="s">
        <v>133</v>
      </c>
      <c r="D57" t="s">
        <v>22</v>
      </c>
      <c r="E57" t="s">
        <v>23</v>
      </c>
      <c r="F57" t="s">
        <v>12</v>
      </c>
      <c r="G57">
        <v>1000</v>
      </c>
      <c r="H57" t="s">
        <v>19</v>
      </c>
      <c r="I57">
        <f>IF(Table4[[#This Row],[Status]]="Completed",Table4[[#This Row],[Fee]],0)</f>
        <v>0</v>
      </c>
      <c r="J57" s="5">
        <f>SUM(Table4[Revenue])</f>
        <v>432600</v>
      </c>
      <c r="K57">
        <f>COUNTIFS(Table4[Status],"No Show")</f>
        <v>9</v>
      </c>
      <c r="L57" s="9">
        <f>Table4[[#This Row],[Num_No shows]]/100</f>
        <v>0.09</v>
      </c>
      <c r="M57">
        <f>IF(Table4[[#This Row],[Status]]="No Show",1,0)</f>
        <v>1</v>
      </c>
    </row>
    <row r="58" spans="1:13" x14ac:dyDescent="0.3">
      <c r="A58" t="s">
        <v>134</v>
      </c>
      <c r="B58" s="2">
        <v>45672</v>
      </c>
      <c r="C58" t="s">
        <v>135</v>
      </c>
      <c r="D58" t="s">
        <v>16</v>
      </c>
      <c r="E58" t="s">
        <v>17</v>
      </c>
      <c r="F58" t="s">
        <v>18</v>
      </c>
      <c r="G58">
        <v>500</v>
      </c>
      <c r="H58" t="s">
        <v>13</v>
      </c>
      <c r="I58">
        <f>IF(Table4[[#This Row],[Status]]="Completed",Table4[[#This Row],[Fee]],0)</f>
        <v>500</v>
      </c>
      <c r="J58" s="5">
        <f>SUM(Table4[Revenue])</f>
        <v>432600</v>
      </c>
      <c r="K58">
        <f>COUNTIFS(Table4[Status],"No Show")</f>
        <v>9</v>
      </c>
      <c r="L58" s="9">
        <f>Table4[[#This Row],[Num_No shows]]/100</f>
        <v>0.09</v>
      </c>
      <c r="M58">
        <f>IF(Table4[[#This Row],[Status]]="No Show",1,0)</f>
        <v>0</v>
      </c>
    </row>
    <row r="59" spans="1:13" x14ac:dyDescent="0.3">
      <c r="A59" t="s">
        <v>136</v>
      </c>
      <c r="B59" s="2">
        <v>45672</v>
      </c>
      <c r="C59" t="s">
        <v>137</v>
      </c>
      <c r="D59" t="s">
        <v>30</v>
      </c>
      <c r="E59" t="s">
        <v>31</v>
      </c>
      <c r="F59" t="s">
        <v>12</v>
      </c>
      <c r="G59">
        <v>500</v>
      </c>
      <c r="H59" t="s">
        <v>13</v>
      </c>
      <c r="I59">
        <f>IF(Table4[[#This Row],[Status]]="Completed",Table4[[#This Row],[Fee]],0)</f>
        <v>500</v>
      </c>
      <c r="J59" s="5">
        <f>SUM(Table4[Revenue])</f>
        <v>432600</v>
      </c>
      <c r="K59">
        <f>COUNTIFS(Table4[Status],"No Show")</f>
        <v>9</v>
      </c>
      <c r="L59" s="9">
        <f>Table4[[#This Row],[Num_No shows]]/100</f>
        <v>0.09</v>
      </c>
      <c r="M59">
        <f>IF(Table4[[#This Row],[Status]]="No Show",1,0)</f>
        <v>0</v>
      </c>
    </row>
    <row r="60" spans="1:13" x14ac:dyDescent="0.3">
      <c r="A60" t="s">
        <v>138</v>
      </c>
      <c r="B60" s="2">
        <v>45673</v>
      </c>
      <c r="C60" t="s">
        <v>139</v>
      </c>
      <c r="D60" t="s">
        <v>10</v>
      </c>
      <c r="E60" t="s">
        <v>11</v>
      </c>
      <c r="F60" t="s">
        <v>18</v>
      </c>
      <c r="G60">
        <v>400</v>
      </c>
      <c r="H60" t="s">
        <v>13</v>
      </c>
      <c r="I60">
        <f>IF(Table4[[#This Row],[Status]]="Completed",Table4[[#This Row],[Fee]],0)</f>
        <v>400</v>
      </c>
      <c r="J60" s="5">
        <f>SUM(Table4[Revenue])</f>
        <v>432600</v>
      </c>
      <c r="K60">
        <f>COUNTIFS(Table4[Status],"No Show")</f>
        <v>9</v>
      </c>
      <c r="L60" s="9">
        <f>Table4[[#This Row],[Num_No shows]]/100</f>
        <v>0.09</v>
      </c>
      <c r="M60">
        <f>IF(Table4[[#This Row],[Status]]="No Show",1,0)</f>
        <v>0</v>
      </c>
    </row>
    <row r="61" spans="1:13" x14ac:dyDescent="0.3">
      <c r="A61" t="s">
        <v>140</v>
      </c>
      <c r="B61" s="2">
        <v>45673</v>
      </c>
      <c r="C61" t="s">
        <v>141</v>
      </c>
      <c r="D61" t="s">
        <v>22</v>
      </c>
      <c r="E61" t="s">
        <v>23</v>
      </c>
      <c r="F61" t="s">
        <v>37</v>
      </c>
      <c r="G61">
        <v>18500</v>
      </c>
      <c r="H61" t="s">
        <v>13</v>
      </c>
      <c r="I61">
        <f>IF(Table4[[#This Row],[Status]]="Completed",Table4[[#This Row],[Fee]],0)</f>
        <v>18500</v>
      </c>
      <c r="J61" s="5">
        <f>SUM(Table4[Revenue])</f>
        <v>432600</v>
      </c>
      <c r="K61">
        <f>COUNTIFS(Table4[Status],"No Show")</f>
        <v>9</v>
      </c>
      <c r="L61" s="9">
        <f>Table4[[#This Row],[Num_No shows]]/100</f>
        <v>0.09</v>
      </c>
      <c r="M61">
        <f>IF(Table4[[#This Row],[Status]]="No Show",1,0)</f>
        <v>0</v>
      </c>
    </row>
    <row r="62" spans="1:13" x14ac:dyDescent="0.3">
      <c r="A62" t="s">
        <v>142</v>
      </c>
      <c r="B62" s="2">
        <v>45673</v>
      </c>
      <c r="C62" t="s">
        <v>143</v>
      </c>
      <c r="D62" t="s">
        <v>16</v>
      </c>
      <c r="E62" t="s">
        <v>17</v>
      </c>
      <c r="F62" t="s">
        <v>12</v>
      </c>
      <c r="G62">
        <v>700</v>
      </c>
      <c r="H62" t="s">
        <v>13</v>
      </c>
      <c r="I62">
        <f>IF(Table4[[#This Row],[Status]]="Completed",Table4[[#This Row],[Fee]],0)</f>
        <v>700</v>
      </c>
      <c r="J62" s="5">
        <f>SUM(Table4[Revenue])</f>
        <v>432600</v>
      </c>
      <c r="K62">
        <f>COUNTIFS(Table4[Status],"No Show")</f>
        <v>9</v>
      </c>
      <c r="L62" s="9">
        <f>Table4[[#This Row],[Num_No shows]]/100</f>
        <v>0.09</v>
      </c>
      <c r="M62">
        <f>IF(Table4[[#This Row],[Status]]="No Show",1,0)</f>
        <v>0</v>
      </c>
    </row>
    <row r="63" spans="1:13" x14ac:dyDescent="0.3">
      <c r="A63" t="s">
        <v>144</v>
      </c>
      <c r="B63" s="2">
        <v>45673</v>
      </c>
      <c r="C63" t="s">
        <v>145</v>
      </c>
      <c r="D63" t="s">
        <v>30</v>
      </c>
      <c r="E63" t="s">
        <v>31</v>
      </c>
      <c r="F63" t="s">
        <v>12</v>
      </c>
      <c r="G63">
        <v>500</v>
      </c>
      <c r="H63" t="s">
        <v>13</v>
      </c>
      <c r="I63">
        <f>IF(Table4[[#This Row],[Status]]="Completed",Table4[[#This Row],[Fee]],0)</f>
        <v>500</v>
      </c>
      <c r="J63" s="5">
        <f>SUM(Table4[Revenue])</f>
        <v>432600</v>
      </c>
      <c r="K63">
        <f>COUNTIFS(Table4[Status],"No Show")</f>
        <v>9</v>
      </c>
      <c r="L63" s="9">
        <f>Table4[[#This Row],[Num_No shows]]/100</f>
        <v>0.09</v>
      </c>
      <c r="M63">
        <f>IF(Table4[[#This Row],[Status]]="No Show",1,0)</f>
        <v>0</v>
      </c>
    </row>
    <row r="64" spans="1:13" x14ac:dyDescent="0.3">
      <c r="A64" t="s">
        <v>146</v>
      </c>
      <c r="B64" s="2">
        <v>45674</v>
      </c>
      <c r="C64" t="s">
        <v>147</v>
      </c>
      <c r="D64" t="s">
        <v>10</v>
      </c>
      <c r="E64" t="s">
        <v>11</v>
      </c>
      <c r="F64" t="s">
        <v>12</v>
      </c>
      <c r="G64">
        <v>800</v>
      </c>
      <c r="H64" t="s">
        <v>13</v>
      </c>
      <c r="I64">
        <f>IF(Table4[[#This Row],[Status]]="Completed",Table4[[#This Row],[Fee]],0)</f>
        <v>800</v>
      </c>
      <c r="J64" s="5">
        <f>SUM(Table4[Revenue])</f>
        <v>432600</v>
      </c>
      <c r="K64">
        <f>COUNTIFS(Table4[Status],"No Show")</f>
        <v>9</v>
      </c>
      <c r="L64" s="9">
        <f>Table4[[#This Row],[Num_No shows]]/100</f>
        <v>0.09</v>
      </c>
      <c r="M64">
        <f>IF(Table4[[#This Row],[Status]]="No Show",1,0)</f>
        <v>0</v>
      </c>
    </row>
    <row r="65" spans="1:13" x14ac:dyDescent="0.3">
      <c r="A65" t="s">
        <v>148</v>
      </c>
      <c r="B65" s="2">
        <v>45674</v>
      </c>
      <c r="C65" t="s">
        <v>149</v>
      </c>
      <c r="D65" t="s">
        <v>22</v>
      </c>
      <c r="E65" t="s">
        <v>23</v>
      </c>
      <c r="F65" t="s">
        <v>18</v>
      </c>
      <c r="G65">
        <v>600</v>
      </c>
      <c r="H65" t="s">
        <v>13</v>
      </c>
      <c r="I65">
        <f>IF(Table4[[#This Row],[Status]]="Completed",Table4[[#This Row],[Fee]],0)</f>
        <v>600</v>
      </c>
      <c r="J65" s="5">
        <f>SUM(Table4[Revenue])</f>
        <v>432600</v>
      </c>
      <c r="K65">
        <f>COUNTIFS(Table4[Status],"No Show")</f>
        <v>9</v>
      </c>
      <c r="L65" s="9">
        <f>Table4[[#This Row],[Num_No shows]]/100</f>
        <v>0.09</v>
      </c>
      <c r="M65">
        <f>IF(Table4[[#This Row],[Status]]="No Show",1,0)</f>
        <v>0</v>
      </c>
    </row>
    <row r="66" spans="1:13" x14ac:dyDescent="0.3">
      <c r="A66" t="s">
        <v>150</v>
      </c>
      <c r="B66" s="2">
        <v>45674</v>
      </c>
      <c r="C66" t="s">
        <v>151</v>
      </c>
      <c r="D66" t="s">
        <v>16</v>
      </c>
      <c r="E66" t="s">
        <v>17</v>
      </c>
      <c r="F66" t="s">
        <v>37</v>
      </c>
      <c r="G66">
        <v>17000</v>
      </c>
      <c r="H66" t="s">
        <v>13</v>
      </c>
      <c r="I66">
        <f>IF(Table4[[#This Row],[Status]]="Completed",Table4[[#This Row],[Fee]],0)</f>
        <v>17000</v>
      </c>
      <c r="J66" s="5">
        <f>SUM(Table4[Revenue])</f>
        <v>432600</v>
      </c>
      <c r="K66">
        <f>COUNTIFS(Table4[Status],"No Show")</f>
        <v>9</v>
      </c>
      <c r="L66" s="9">
        <f>Table4[[#This Row],[Num_No shows]]/100</f>
        <v>0.09</v>
      </c>
      <c r="M66">
        <f>IF(Table4[[#This Row],[Status]]="No Show",1,0)</f>
        <v>0</v>
      </c>
    </row>
    <row r="67" spans="1:13" x14ac:dyDescent="0.3">
      <c r="A67" t="s">
        <v>152</v>
      </c>
      <c r="B67" s="2">
        <v>45674</v>
      </c>
      <c r="C67" t="s">
        <v>153</v>
      </c>
      <c r="D67" t="s">
        <v>30</v>
      </c>
      <c r="E67" t="s">
        <v>31</v>
      </c>
      <c r="F67" t="s">
        <v>18</v>
      </c>
      <c r="G67">
        <v>300</v>
      </c>
      <c r="H67" t="s">
        <v>13</v>
      </c>
      <c r="I67">
        <f>IF(Table4[[#This Row],[Status]]="Completed",Table4[[#This Row],[Fee]],0)</f>
        <v>300</v>
      </c>
      <c r="J67" s="5">
        <f>SUM(Table4[Revenue])</f>
        <v>432600</v>
      </c>
      <c r="K67">
        <f>COUNTIFS(Table4[Status],"No Show")</f>
        <v>9</v>
      </c>
      <c r="L67" s="9">
        <f>Table4[[#This Row],[Num_No shows]]/100</f>
        <v>0.09</v>
      </c>
      <c r="M67">
        <f>IF(Table4[[#This Row],[Status]]="No Show",1,0)</f>
        <v>0</v>
      </c>
    </row>
    <row r="68" spans="1:13" x14ac:dyDescent="0.3">
      <c r="A68" t="s">
        <v>154</v>
      </c>
      <c r="B68" s="2">
        <v>45675</v>
      </c>
      <c r="C68" t="s">
        <v>155</v>
      </c>
      <c r="D68" t="s">
        <v>10</v>
      </c>
      <c r="E68" t="s">
        <v>11</v>
      </c>
      <c r="F68" t="s">
        <v>37</v>
      </c>
      <c r="G68">
        <v>22500</v>
      </c>
      <c r="H68" t="s">
        <v>13</v>
      </c>
      <c r="I68">
        <f>IF(Table4[[#This Row],[Status]]="Completed",Table4[[#This Row],[Fee]],0)</f>
        <v>22500</v>
      </c>
      <c r="J68" s="5">
        <f>SUM(Table4[Revenue])</f>
        <v>432600</v>
      </c>
      <c r="K68">
        <f>COUNTIFS(Table4[Status],"No Show")</f>
        <v>9</v>
      </c>
      <c r="L68" s="9">
        <f>Table4[[#This Row],[Num_No shows]]/100</f>
        <v>0.09</v>
      </c>
      <c r="M68">
        <f>IF(Table4[[#This Row],[Status]]="No Show",1,0)</f>
        <v>0</v>
      </c>
    </row>
    <row r="69" spans="1:13" x14ac:dyDescent="0.3">
      <c r="A69" t="s">
        <v>156</v>
      </c>
      <c r="B69" s="2">
        <v>45675</v>
      </c>
      <c r="C69" t="s">
        <v>157</v>
      </c>
      <c r="D69" t="s">
        <v>22</v>
      </c>
      <c r="E69" t="s">
        <v>23</v>
      </c>
      <c r="F69" t="s">
        <v>12</v>
      </c>
      <c r="G69">
        <v>1000</v>
      </c>
      <c r="H69" t="s">
        <v>13</v>
      </c>
      <c r="I69">
        <f>IF(Table4[[#This Row],[Status]]="Completed",Table4[[#This Row],[Fee]],0)</f>
        <v>1000</v>
      </c>
      <c r="J69" s="5">
        <f>SUM(Table4[Revenue])</f>
        <v>432600</v>
      </c>
      <c r="K69">
        <f>COUNTIFS(Table4[Status],"No Show")</f>
        <v>9</v>
      </c>
      <c r="L69" s="9">
        <f>Table4[[#This Row],[Num_No shows]]/100</f>
        <v>0.09</v>
      </c>
      <c r="M69">
        <f>IF(Table4[[#This Row],[Status]]="No Show",1,0)</f>
        <v>0</v>
      </c>
    </row>
    <row r="70" spans="1:13" x14ac:dyDescent="0.3">
      <c r="A70" t="s">
        <v>158</v>
      </c>
      <c r="B70" s="2">
        <v>45675</v>
      </c>
      <c r="C70" t="s">
        <v>159</v>
      </c>
      <c r="D70" t="s">
        <v>16</v>
      </c>
      <c r="E70" t="s">
        <v>17</v>
      </c>
      <c r="F70" t="s">
        <v>12</v>
      </c>
      <c r="G70">
        <v>700</v>
      </c>
      <c r="H70" t="s">
        <v>19</v>
      </c>
      <c r="I70">
        <f>IF(Table4[[#This Row],[Status]]="Completed",Table4[[#This Row],[Fee]],0)</f>
        <v>0</v>
      </c>
      <c r="J70" s="5">
        <f>SUM(Table4[Revenue])</f>
        <v>432600</v>
      </c>
      <c r="K70">
        <f>COUNTIFS(Table4[Status],"No Show")</f>
        <v>9</v>
      </c>
      <c r="L70" s="9">
        <f>Table4[[#This Row],[Num_No shows]]/100</f>
        <v>0.09</v>
      </c>
      <c r="M70">
        <f>IF(Table4[[#This Row],[Status]]="No Show",1,0)</f>
        <v>1</v>
      </c>
    </row>
    <row r="71" spans="1:13" x14ac:dyDescent="0.3">
      <c r="A71" t="s">
        <v>160</v>
      </c>
      <c r="B71" s="2">
        <v>45675</v>
      </c>
      <c r="C71" t="s">
        <v>161</v>
      </c>
      <c r="D71" t="s">
        <v>30</v>
      </c>
      <c r="E71" t="s">
        <v>31</v>
      </c>
      <c r="F71" t="s">
        <v>12</v>
      </c>
      <c r="G71">
        <v>500</v>
      </c>
      <c r="H71" t="s">
        <v>13</v>
      </c>
      <c r="I71">
        <f>IF(Table4[[#This Row],[Status]]="Completed",Table4[[#This Row],[Fee]],0)</f>
        <v>500</v>
      </c>
      <c r="J71" s="5">
        <f>SUM(Table4[Revenue])</f>
        <v>432600</v>
      </c>
      <c r="K71">
        <f>COUNTIFS(Table4[Status],"No Show")</f>
        <v>9</v>
      </c>
      <c r="L71" s="9">
        <f>Table4[[#This Row],[Num_No shows]]/100</f>
        <v>0.09</v>
      </c>
      <c r="M71">
        <f>IF(Table4[[#This Row],[Status]]="No Show",1,0)</f>
        <v>0</v>
      </c>
    </row>
    <row r="72" spans="1:13" x14ac:dyDescent="0.3">
      <c r="A72" t="s">
        <v>162</v>
      </c>
      <c r="B72" s="2">
        <v>45676</v>
      </c>
      <c r="C72" t="s">
        <v>163</v>
      </c>
      <c r="D72" t="s">
        <v>10</v>
      </c>
      <c r="E72" t="s">
        <v>11</v>
      </c>
      <c r="F72" t="s">
        <v>18</v>
      </c>
      <c r="G72">
        <v>400</v>
      </c>
      <c r="H72" t="s">
        <v>13</v>
      </c>
      <c r="I72">
        <f>IF(Table4[[#This Row],[Status]]="Completed",Table4[[#This Row],[Fee]],0)</f>
        <v>400</v>
      </c>
      <c r="J72" s="5">
        <f>SUM(Table4[Revenue])</f>
        <v>432600</v>
      </c>
      <c r="K72">
        <f>COUNTIFS(Table4[Status],"No Show")</f>
        <v>9</v>
      </c>
      <c r="L72" s="9">
        <f>Table4[[#This Row],[Num_No shows]]/100</f>
        <v>0.09</v>
      </c>
      <c r="M72">
        <f>IF(Table4[[#This Row],[Status]]="No Show",1,0)</f>
        <v>0</v>
      </c>
    </row>
    <row r="73" spans="1:13" x14ac:dyDescent="0.3">
      <c r="A73" t="s">
        <v>164</v>
      </c>
      <c r="B73" s="2">
        <v>45676</v>
      </c>
      <c r="C73" t="s">
        <v>165</v>
      </c>
      <c r="D73" t="s">
        <v>22</v>
      </c>
      <c r="E73" t="s">
        <v>23</v>
      </c>
      <c r="F73" t="s">
        <v>37</v>
      </c>
      <c r="G73">
        <v>19500</v>
      </c>
      <c r="H73" t="s">
        <v>13</v>
      </c>
      <c r="I73">
        <f>IF(Table4[[#This Row],[Status]]="Completed",Table4[[#This Row],[Fee]],0)</f>
        <v>19500</v>
      </c>
      <c r="J73" s="5">
        <f>SUM(Table4[Revenue])</f>
        <v>432600</v>
      </c>
      <c r="K73">
        <f>COUNTIFS(Table4[Status],"No Show")</f>
        <v>9</v>
      </c>
      <c r="L73" s="9">
        <f>Table4[[#This Row],[Num_No shows]]/100</f>
        <v>0.09</v>
      </c>
      <c r="M73">
        <f>IF(Table4[[#This Row],[Status]]="No Show",1,0)</f>
        <v>0</v>
      </c>
    </row>
    <row r="74" spans="1:13" x14ac:dyDescent="0.3">
      <c r="A74" t="s">
        <v>166</v>
      </c>
      <c r="B74" s="2">
        <v>45676</v>
      </c>
      <c r="C74" t="s">
        <v>167</v>
      </c>
      <c r="D74" t="s">
        <v>16</v>
      </c>
      <c r="E74" t="s">
        <v>17</v>
      </c>
      <c r="F74" t="s">
        <v>18</v>
      </c>
      <c r="G74">
        <v>500</v>
      </c>
      <c r="H74" t="s">
        <v>13</v>
      </c>
      <c r="I74">
        <f>IF(Table4[[#This Row],[Status]]="Completed",Table4[[#This Row],[Fee]],0)</f>
        <v>500</v>
      </c>
      <c r="J74" s="5">
        <f>SUM(Table4[Revenue])</f>
        <v>432600</v>
      </c>
      <c r="K74">
        <f>COUNTIFS(Table4[Status],"No Show")</f>
        <v>9</v>
      </c>
      <c r="L74" s="9">
        <f>Table4[[#This Row],[Num_No shows]]/100</f>
        <v>0.09</v>
      </c>
      <c r="M74">
        <f>IF(Table4[[#This Row],[Status]]="No Show",1,0)</f>
        <v>0</v>
      </c>
    </row>
    <row r="75" spans="1:13" x14ac:dyDescent="0.3">
      <c r="A75" t="s">
        <v>168</v>
      </c>
      <c r="B75" s="2">
        <v>45676</v>
      </c>
      <c r="C75" t="s">
        <v>169</v>
      </c>
      <c r="D75" t="s">
        <v>30</v>
      </c>
      <c r="E75" t="s">
        <v>31</v>
      </c>
      <c r="F75" t="s">
        <v>12</v>
      </c>
      <c r="G75">
        <v>500</v>
      </c>
      <c r="H75" t="s">
        <v>13</v>
      </c>
      <c r="I75">
        <f>IF(Table4[[#This Row],[Status]]="Completed",Table4[[#This Row],[Fee]],0)</f>
        <v>500</v>
      </c>
      <c r="J75" s="5">
        <f>SUM(Table4[Revenue])</f>
        <v>432600</v>
      </c>
      <c r="K75">
        <f>COUNTIFS(Table4[Status],"No Show")</f>
        <v>9</v>
      </c>
      <c r="L75" s="9">
        <f>Table4[[#This Row],[Num_No shows]]/100</f>
        <v>0.09</v>
      </c>
      <c r="M75">
        <f>IF(Table4[[#This Row],[Status]]="No Show",1,0)</f>
        <v>0</v>
      </c>
    </row>
    <row r="76" spans="1:13" x14ac:dyDescent="0.3">
      <c r="A76" t="s">
        <v>170</v>
      </c>
      <c r="B76" s="2">
        <v>45677</v>
      </c>
      <c r="C76" t="s">
        <v>171</v>
      </c>
      <c r="D76" t="s">
        <v>10</v>
      </c>
      <c r="E76" t="s">
        <v>11</v>
      </c>
      <c r="F76" t="s">
        <v>12</v>
      </c>
      <c r="G76">
        <v>800</v>
      </c>
      <c r="H76" t="s">
        <v>13</v>
      </c>
      <c r="I76">
        <f>IF(Table4[[#This Row],[Status]]="Completed",Table4[[#This Row],[Fee]],0)</f>
        <v>800</v>
      </c>
      <c r="J76" s="5">
        <f>SUM(Table4[Revenue])</f>
        <v>432600</v>
      </c>
      <c r="K76">
        <f>COUNTIFS(Table4[Status],"No Show")</f>
        <v>9</v>
      </c>
      <c r="L76" s="9">
        <f>Table4[[#This Row],[Num_No shows]]/100</f>
        <v>0.09</v>
      </c>
      <c r="M76">
        <f>IF(Table4[[#This Row],[Status]]="No Show",1,0)</f>
        <v>0</v>
      </c>
    </row>
    <row r="77" spans="1:13" x14ac:dyDescent="0.3">
      <c r="A77" t="s">
        <v>172</v>
      </c>
      <c r="B77" s="2">
        <v>45677</v>
      </c>
      <c r="C77" t="s">
        <v>173</v>
      </c>
      <c r="D77" t="s">
        <v>22</v>
      </c>
      <c r="E77" t="s">
        <v>23</v>
      </c>
      <c r="F77" t="s">
        <v>18</v>
      </c>
      <c r="G77">
        <v>600</v>
      </c>
      <c r="H77" t="s">
        <v>34</v>
      </c>
      <c r="I77">
        <f>IF(Table4[[#This Row],[Status]]="Completed",Table4[[#This Row],[Fee]],0)</f>
        <v>0</v>
      </c>
      <c r="J77" s="5">
        <f>SUM(Table4[Revenue])</f>
        <v>432600</v>
      </c>
      <c r="K77">
        <f>COUNTIFS(Table4[Status],"No Show")</f>
        <v>9</v>
      </c>
      <c r="L77" s="9">
        <f>Table4[[#This Row],[Num_No shows]]/100</f>
        <v>0.09</v>
      </c>
      <c r="M77">
        <f>IF(Table4[[#This Row],[Status]]="No Show",1,0)</f>
        <v>0</v>
      </c>
    </row>
    <row r="78" spans="1:13" x14ac:dyDescent="0.3">
      <c r="A78" t="s">
        <v>174</v>
      </c>
      <c r="B78" s="2">
        <v>45677</v>
      </c>
      <c r="C78" t="s">
        <v>175</v>
      </c>
      <c r="D78" t="s">
        <v>16</v>
      </c>
      <c r="E78" t="s">
        <v>17</v>
      </c>
      <c r="F78" t="s">
        <v>12</v>
      </c>
      <c r="G78">
        <v>700</v>
      </c>
      <c r="H78" t="s">
        <v>13</v>
      </c>
      <c r="I78">
        <f>IF(Table4[[#This Row],[Status]]="Completed",Table4[[#This Row],[Fee]],0)</f>
        <v>700</v>
      </c>
      <c r="J78" s="5">
        <f>SUM(Table4[Revenue])</f>
        <v>432600</v>
      </c>
      <c r="K78">
        <f>COUNTIFS(Table4[Status],"No Show")</f>
        <v>9</v>
      </c>
      <c r="L78" s="9">
        <f>Table4[[#This Row],[Num_No shows]]/100</f>
        <v>0.09</v>
      </c>
      <c r="M78">
        <f>IF(Table4[[#This Row],[Status]]="No Show",1,0)</f>
        <v>0</v>
      </c>
    </row>
    <row r="79" spans="1:13" x14ac:dyDescent="0.3">
      <c r="A79" t="s">
        <v>176</v>
      </c>
      <c r="B79" s="2">
        <v>45677</v>
      </c>
      <c r="C79" t="s">
        <v>177</v>
      </c>
      <c r="D79" t="s">
        <v>30</v>
      </c>
      <c r="E79" t="s">
        <v>31</v>
      </c>
      <c r="F79" t="s">
        <v>18</v>
      </c>
      <c r="G79">
        <v>300</v>
      </c>
      <c r="H79" t="s">
        <v>13</v>
      </c>
      <c r="I79">
        <f>IF(Table4[[#This Row],[Status]]="Completed",Table4[[#This Row],[Fee]],0)</f>
        <v>300</v>
      </c>
      <c r="J79" s="5">
        <f>SUM(Table4[Revenue])</f>
        <v>432600</v>
      </c>
      <c r="K79">
        <f>COUNTIFS(Table4[Status],"No Show")</f>
        <v>9</v>
      </c>
      <c r="L79" s="9">
        <f>Table4[[#This Row],[Num_No shows]]/100</f>
        <v>0.09</v>
      </c>
      <c r="M79">
        <f>IF(Table4[[#This Row],[Status]]="No Show",1,0)</f>
        <v>0</v>
      </c>
    </row>
    <row r="80" spans="1:13" x14ac:dyDescent="0.3">
      <c r="A80" t="s">
        <v>178</v>
      </c>
      <c r="B80" s="2">
        <v>45678</v>
      </c>
      <c r="C80" t="s">
        <v>179</v>
      </c>
      <c r="D80" t="s">
        <v>10</v>
      </c>
      <c r="E80" t="s">
        <v>11</v>
      </c>
      <c r="F80" t="s">
        <v>37</v>
      </c>
      <c r="G80">
        <v>24000</v>
      </c>
      <c r="H80" t="s">
        <v>13</v>
      </c>
      <c r="I80">
        <f>IF(Table4[[#This Row],[Status]]="Completed",Table4[[#This Row],[Fee]],0)</f>
        <v>24000</v>
      </c>
      <c r="J80" s="5">
        <f>SUM(Table4[Revenue])</f>
        <v>432600</v>
      </c>
      <c r="K80">
        <f>COUNTIFS(Table4[Status],"No Show")</f>
        <v>9</v>
      </c>
      <c r="L80" s="9">
        <f>Table4[[#This Row],[Num_No shows]]/100</f>
        <v>0.09</v>
      </c>
      <c r="M80">
        <f>IF(Table4[[#This Row],[Status]]="No Show",1,0)</f>
        <v>0</v>
      </c>
    </row>
    <row r="81" spans="1:13" x14ac:dyDescent="0.3">
      <c r="A81" t="s">
        <v>180</v>
      </c>
      <c r="B81" s="2">
        <v>45678</v>
      </c>
      <c r="C81" t="s">
        <v>181</v>
      </c>
      <c r="D81" t="s">
        <v>22</v>
      </c>
      <c r="E81" t="s">
        <v>23</v>
      </c>
      <c r="F81" t="s">
        <v>12</v>
      </c>
      <c r="G81">
        <v>1000</v>
      </c>
      <c r="H81" t="s">
        <v>13</v>
      </c>
      <c r="I81">
        <f>IF(Table4[[#This Row],[Status]]="Completed",Table4[[#This Row],[Fee]],0)</f>
        <v>1000</v>
      </c>
      <c r="J81" s="5">
        <f>SUM(Table4[Revenue])</f>
        <v>432600</v>
      </c>
      <c r="K81">
        <f>COUNTIFS(Table4[Status],"No Show")</f>
        <v>9</v>
      </c>
      <c r="L81" s="9">
        <f>Table4[[#This Row],[Num_No shows]]/100</f>
        <v>0.09</v>
      </c>
      <c r="M81">
        <f>IF(Table4[[#This Row],[Status]]="No Show",1,0)</f>
        <v>0</v>
      </c>
    </row>
    <row r="82" spans="1:13" x14ac:dyDescent="0.3">
      <c r="A82" t="s">
        <v>182</v>
      </c>
      <c r="B82" s="2">
        <v>45678</v>
      </c>
      <c r="C82" t="s">
        <v>183</v>
      </c>
      <c r="D82" t="s">
        <v>16</v>
      </c>
      <c r="E82" t="s">
        <v>17</v>
      </c>
      <c r="F82" t="s">
        <v>37</v>
      </c>
      <c r="G82">
        <v>16500</v>
      </c>
      <c r="H82" t="s">
        <v>13</v>
      </c>
      <c r="I82">
        <f>IF(Table4[[#This Row],[Status]]="Completed",Table4[[#This Row],[Fee]],0)</f>
        <v>16500</v>
      </c>
      <c r="J82" s="5">
        <f>SUM(Table4[Revenue])</f>
        <v>432600</v>
      </c>
      <c r="K82">
        <f>COUNTIFS(Table4[Status],"No Show")</f>
        <v>9</v>
      </c>
      <c r="L82" s="9">
        <f>Table4[[#This Row],[Num_No shows]]/100</f>
        <v>0.09</v>
      </c>
      <c r="M82">
        <f>IF(Table4[[#This Row],[Status]]="No Show",1,0)</f>
        <v>0</v>
      </c>
    </row>
    <row r="83" spans="1:13" x14ac:dyDescent="0.3">
      <c r="A83" t="s">
        <v>184</v>
      </c>
      <c r="B83" s="2">
        <v>45678</v>
      </c>
      <c r="C83" t="s">
        <v>185</v>
      </c>
      <c r="D83" t="s">
        <v>30</v>
      </c>
      <c r="E83" t="s">
        <v>31</v>
      </c>
      <c r="F83" t="s">
        <v>12</v>
      </c>
      <c r="G83">
        <v>500</v>
      </c>
      <c r="H83" t="s">
        <v>13</v>
      </c>
      <c r="I83">
        <f>IF(Table4[[#This Row],[Status]]="Completed",Table4[[#This Row],[Fee]],0)</f>
        <v>500</v>
      </c>
      <c r="J83" s="5">
        <f>SUM(Table4[Revenue])</f>
        <v>432600</v>
      </c>
      <c r="K83">
        <f>COUNTIFS(Table4[Status],"No Show")</f>
        <v>9</v>
      </c>
      <c r="L83" s="9">
        <f>Table4[[#This Row],[Num_No shows]]/100</f>
        <v>0.09</v>
      </c>
      <c r="M83">
        <f>IF(Table4[[#This Row],[Status]]="No Show",1,0)</f>
        <v>0</v>
      </c>
    </row>
    <row r="84" spans="1:13" x14ac:dyDescent="0.3">
      <c r="A84" t="s">
        <v>186</v>
      </c>
      <c r="B84" s="2">
        <v>45679</v>
      </c>
      <c r="C84" t="s">
        <v>187</v>
      </c>
      <c r="D84" t="s">
        <v>10</v>
      </c>
      <c r="E84" t="s">
        <v>11</v>
      </c>
      <c r="F84" t="s">
        <v>12</v>
      </c>
      <c r="G84">
        <v>800</v>
      </c>
      <c r="H84" t="s">
        <v>13</v>
      </c>
      <c r="I84">
        <f>IF(Table4[[#This Row],[Status]]="Completed",Table4[[#This Row],[Fee]],0)</f>
        <v>800</v>
      </c>
      <c r="J84" s="5">
        <f>SUM(Table4[Revenue])</f>
        <v>432600</v>
      </c>
      <c r="K84">
        <f>COUNTIFS(Table4[Status],"No Show")</f>
        <v>9</v>
      </c>
      <c r="L84" s="9">
        <f>Table4[[#This Row],[Num_No shows]]/100</f>
        <v>0.09</v>
      </c>
      <c r="M84">
        <f>IF(Table4[[#This Row],[Status]]="No Show",1,0)</f>
        <v>0</v>
      </c>
    </row>
    <row r="85" spans="1:13" x14ac:dyDescent="0.3">
      <c r="A85" t="s">
        <v>188</v>
      </c>
      <c r="B85" s="2">
        <v>45679</v>
      </c>
      <c r="C85" t="s">
        <v>189</v>
      </c>
      <c r="D85" t="s">
        <v>22</v>
      </c>
      <c r="E85" t="s">
        <v>23</v>
      </c>
      <c r="F85" t="s">
        <v>18</v>
      </c>
      <c r="G85">
        <v>600</v>
      </c>
      <c r="H85" t="s">
        <v>13</v>
      </c>
      <c r="I85">
        <f>IF(Table4[[#This Row],[Status]]="Completed",Table4[[#This Row],[Fee]],0)</f>
        <v>600</v>
      </c>
      <c r="J85" s="5">
        <f>SUM(Table4[Revenue])</f>
        <v>432600</v>
      </c>
      <c r="K85">
        <f>COUNTIFS(Table4[Status],"No Show")</f>
        <v>9</v>
      </c>
      <c r="L85" s="9">
        <f>Table4[[#This Row],[Num_No shows]]/100</f>
        <v>0.09</v>
      </c>
      <c r="M85">
        <f>IF(Table4[[#This Row],[Status]]="No Show",1,0)</f>
        <v>0</v>
      </c>
    </row>
    <row r="86" spans="1:13" x14ac:dyDescent="0.3">
      <c r="A86" t="s">
        <v>190</v>
      </c>
      <c r="B86" s="2">
        <v>45679</v>
      </c>
      <c r="C86" t="s">
        <v>191</v>
      </c>
      <c r="D86" t="s">
        <v>16</v>
      </c>
      <c r="E86" t="s">
        <v>17</v>
      </c>
      <c r="F86" t="s">
        <v>18</v>
      </c>
      <c r="G86">
        <v>500</v>
      </c>
      <c r="H86" t="s">
        <v>19</v>
      </c>
      <c r="I86">
        <f>IF(Table4[[#This Row],[Status]]="Completed",Table4[[#This Row],[Fee]],0)</f>
        <v>0</v>
      </c>
      <c r="J86" s="5">
        <f>SUM(Table4[Revenue])</f>
        <v>432600</v>
      </c>
      <c r="K86">
        <f>COUNTIFS(Table4[Status],"No Show")</f>
        <v>9</v>
      </c>
      <c r="L86" s="9">
        <f>Table4[[#This Row],[Num_No shows]]/100</f>
        <v>0.09</v>
      </c>
      <c r="M86">
        <f>IF(Table4[[#This Row],[Status]]="No Show",1,0)</f>
        <v>1</v>
      </c>
    </row>
    <row r="87" spans="1:13" x14ac:dyDescent="0.3">
      <c r="A87" t="s">
        <v>192</v>
      </c>
      <c r="B87" s="2">
        <v>45679</v>
      </c>
      <c r="C87" t="s">
        <v>193</v>
      </c>
      <c r="D87" t="s">
        <v>30</v>
      </c>
      <c r="E87" t="s">
        <v>31</v>
      </c>
      <c r="F87" t="s">
        <v>12</v>
      </c>
      <c r="G87">
        <v>500</v>
      </c>
      <c r="H87" t="s">
        <v>13</v>
      </c>
      <c r="I87">
        <f>IF(Table4[[#This Row],[Status]]="Completed",Table4[[#This Row],[Fee]],0)</f>
        <v>500</v>
      </c>
      <c r="J87" s="5">
        <f>SUM(Table4[Revenue])</f>
        <v>432600</v>
      </c>
      <c r="K87">
        <f>COUNTIFS(Table4[Status],"No Show")</f>
        <v>9</v>
      </c>
      <c r="L87" s="9">
        <f>Table4[[#This Row],[Num_No shows]]/100</f>
        <v>0.09</v>
      </c>
      <c r="M87">
        <f>IF(Table4[[#This Row],[Status]]="No Show",1,0)</f>
        <v>0</v>
      </c>
    </row>
    <row r="88" spans="1:13" x14ac:dyDescent="0.3">
      <c r="A88" t="s">
        <v>194</v>
      </c>
      <c r="B88" s="2">
        <v>45680</v>
      </c>
      <c r="C88" t="s">
        <v>195</v>
      </c>
      <c r="D88" t="s">
        <v>10</v>
      </c>
      <c r="E88" t="s">
        <v>11</v>
      </c>
      <c r="F88" t="s">
        <v>18</v>
      </c>
      <c r="G88">
        <v>400</v>
      </c>
      <c r="H88" t="s">
        <v>13</v>
      </c>
      <c r="I88">
        <f>IF(Table4[[#This Row],[Status]]="Completed",Table4[[#This Row],[Fee]],0)</f>
        <v>400</v>
      </c>
      <c r="J88" s="5">
        <f>SUM(Table4[Revenue])</f>
        <v>432600</v>
      </c>
      <c r="K88">
        <f>COUNTIFS(Table4[Status],"No Show")</f>
        <v>9</v>
      </c>
      <c r="L88" s="9">
        <f>Table4[[#This Row],[Num_No shows]]/100</f>
        <v>0.09</v>
      </c>
      <c r="M88">
        <f>IF(Table4[[#This Row],[Status]]="No Show",1,0)</f>
        <v>0</v>
      </c>
    </row>
    <row r="89" spans="1:13" x14ac:dyDescent="0.3">
      <c r="A89" t="s">
        <v>196</v>
      </c>
      <c r="B89" s="2">
        <v>45680</v>
      </c>
      <c r="C89" t="s">
        <v>197</v>
      </c>
      <c r="D89" t="s">
        <v>22</v>
      </c>
      <c r="E89" t="s">
        <v>23</v>
      </c>
      <c r="F89" t="s">
        <v>37</v>
      </c>
      <c r="G89">
        <v>21000</v>
      </c>
      <c r="H89" t="s">
        <v>13</v>
      </c>
      <c r="I89">
        <f>IF(Table4[[#This Row],[Status]]="Completed",Table4[[#This Row],[Fee]],0)</f>
        <v>21000</v>
      </c>
      <c r="J89" s="5">
        <f>SUM(Table4[Revenue])</f>
        <v>432600</v>
      </c>
      <c r="K89">
        <f>COUNTIFS(Table4[Status],"No Show")</f>
        <v>9</v>
      </c>
      <c r="L89" s="9">
        <f>Table4[[#This Row],[Num_No shows]]/100</f>
        <v>0.09</v>
      </c>
      <c r="M89">
        <f>IF(Table4[[#This Row],[Status]]="No Show",1,0)</f>
        <v>0</v>
      </c>
    </row>
    <row r="90" spans="1:13" x14ac:dyDescent="0.3">
      <c r="A90" t="s">
        <v>198</v>
      </c>
      <c r="B90" s="2">
        <v>45680</v>
      </c>
      <c r="C90" t="s">
        <v>199</v>
      </c>
      <c r="D90" t="s">
        <v>16</v>
      </c>
      <c r="E90" t="s">
        <v>17</v>
      </c>
      <c r="F90" t="s">
        <v>12</v>
      </c>
      <c r="G90">
        <v>700</v>
      </c>
      <c r="H90" t="s">
        <v>13</v>
      </c>
      <c r="I90">
        <f>IF(Table4[[#This Row],[Status]]="Completed",Table4[[#This Row],[Fee]],0)</f>
        <v>700</v>
      </c>
      <c r="J90" s="5">
        <f>SUM(Table4[Revenue])</f>
        <v>432600</v>
      </c>
      <c r="K90">
        <f>COUNTIFS(Table4[Status],"No Show")</f>
        <v>9</v>
      </c>
      <c r="L90" s="9">
        <f>Table4[[#This Row],[Num_No shows]]/100</f>
        <v>0.09</v>
      </c>
      <c r="M90">
        <f>IF(Table4[[#This Row],[Status]]="No Show",1,0)</f>
        <v>0</v>
      </c>
    </row>
    <row r="91" spans="1:13" x14ac:dyDescent="0.3">
      <c r="A91" t="s">
        <v>200</v>
      </c>
      <c r="B91" s="2">
        <v>45680</v>
      </c>
      <c r="C91" t="s">
        <v>201</v>
      </c>
      <c r="D91" t="s">
        <v>30</v>
      </c>
      <c r="E91" t="s">
        <v>31</v>
      </c>
      <c r="F91" t="s">
        <v>18</v>
      </c>
      <c r="G91">
        <v>300</v>
      </c>
      <c r="H91" t="s">
        <v>13</v>
      </c>
      <c r="I91">
        <f>IF(Table4[[#This Row],[Status]]="Completed",Table4[[#This Row],[Fee]],0)</f>
        <v>300</v>
      </c>
      <c r="J91" s="5">
        <f>SUM(Table4[Revenue])</f>
        <v>432600</v>
      </c>
      <c r="K91">
        <f>COUNTIFS(Table4[Status],"No Show")</f>
        <v>9</v>
      </c>
      <c r="L91" s="9">
        <f>Table4[[#This Row],[Num_No shows]]/100</f>
        <v>0.09</v>
      </c>
      <c r="M91">
        <f>IF(Table4[[#This Row],[Status]]="No Show",1,0)</f>
        <v>0</v>
      </c>
    </row>
    <row r="92" spans="1:13" x14ac:dyDescent="0.3">
      <c r="A92" t="s">
        <v>202</v>
      </c>
      <c r="B92" s="2">
        <v>45681</v>
      </c>
      <c r="C92" t="s">
        <v>203</v>
      </c>
      <c r="D92" t="s">
        <v>10</v>
      </c>
      <c r="E92" t="s">
        <v>11</v>
      </c>
      <c r="F92" t="s">
        <v>12</v>
      </c>
      <c r="G92">
        <v>800</v>
      </c>
      <c r="H92" t="s">
        <v>13</v>
      </c>
      <c r="I92">
        <f>IF(Table4[[#This Row],[Status]]="Completed",Table4[[#This Row],[Fee]],0)</f>
        <v>800</v>
      </c>
      <c r="J92" s="5">
        <f>SUM(Table4[Revenue])</f>
        <v>432600</v>
      </c>
      <c r="K92">
        <f>COUNTIFS(Table4[Status],"No Show")</f>
        <v>9</v>
      </c>
      <c r="L92" s="9">
        <f>Table4[[#This Row],[Num_No shows]]/100</f>
        <v>0.09</v>
      </c>
      <c r="M92">
        <f>IF(Table4[[#This Row],[Status]]="No Show",1,0)</f>
        <v>0</v>
      </c>
    </row>
    <row r="93" spans="1:13" x14ac:dyDescent="0.3">
      <c r="A93" t="s">
        <v>204</v>
      </c>
      <c r="B93" s="2">
        <v>45681</v>
      </c>
      <c r="C93" t="s">
        <v>205</v>
      </c>
      <c r="D93" t="s">
        <v>22</v>
      </c>
      <c r="E93" t="s">
        <v>23</v>
      </c>
      <c r="F93" t="s">
        <v>12</v>
      </c>
      <c r="G93">
        <v>1000</v>
      </c>
      <c r="H93" t="s">
        <v>13</v>
      </c>
      <c r="I93">
        <f>IF(Table4[[#This Row],[Status]]="Completed",Table4[[#This Row],[Fee]],0)</f>
        <v>1000</v>
      </c>
      <c r="J93" s="5">
        <f>SUM(Table4[Revenue])</f>
        <v>432600</v>
      </c>
      <c r="K93">
        <f>COUNTIFS(Table4[Status],"No Show")</f>
        <v>9</v>
      </c>
      <c r="L93" s="9">
        <f>Table4[[#This Row],[Num_No shows]]/100</f>
        <v>0.09</v>
      </c>
      <c r="M93">
        <f>IF(Table4[[#This Row],[Status]]="No Show",1,0)</f>
        <v>0</v>
      </c>
    </row>
    <row r="94" spans="1:13" x14ac:dyDescent="0.3">
      <c r="A94" t="s">
        <v>206</v>
      </c>
      <c r="B94" s="2">
        <v>45681</v>
      </c>
      <c r="C94" t="s">
        <v>207</v>
      </c>
      <c r="D94" t="s">
        <v>16</v>
      </c>
      <c r="E94" t="s">
        <v>17</v>
      </c>
      <c r="F94" t="s">
        <v>37</v>
      </c>
      <c r="G94">
        <v>17500</v>
      </c>
      <c r="H94" t="s">
        <v>13</v>
      </c>
      <c r="I94">
        <f>IF(Table4[[#This Row],[Status]]="Completed",Table4[[#This Row],[Fee]],0)</f>
        <v>17500</v>
      </c>
      <c r="J94" s="5">
        <f>SUM(Table4[Revenue])</f>
        <v>432600</v>
      </c>
      <c r="K94">
        <f>COUNTIFS(Table4[Status],"No Show")</f>
        <v>9</v>
      </c>
      <c r="L94" s="9">
        <f>Table4[[#This Row],[Num_No shows]]/100</f>
        <v>0.09</v>
      </c>
      <c r="M94">
        <f>IF(Table4[[#This Row],[Status]]="No Show",1,0)</f>
        <v>0</v>
      </c>
    </row>
    <row r="95" spans="1:13" x14ac:dyDescent="0.3">
      <c r="A95" t="s">
        <v>208</v>
      </c>
      <c r="B95" s="2">
        <v>45681</v>
      </c>
      <c r="C95" t="s">
        <v>209</v>
      </c>
      <c r="D95" t="s">
        <v>30</v>
      </c>
      <c r="E95" t="s">
        <v>31</v>
      </c>
      <c r="F95" t="s">
        <v>12</v>
      </c>
      <c r="G95">
        <v>500</v>
      </c>
      <c r="H95" t="s">
        <v>13</v>
      </c>
      <c r="I95">
        <f>IF(Table4[[#This Row],[Status]]="Completed",Table4[[#This Row],[Fee]],0)</f>
        <v>500</v>
      </c>
      <c r="J95" s="5">
        <f>SUM(Table4[Revenue])</f>
        <v>432600</v>
      </c>
      <c r="K95">
        <f>COUNTIFS(Table4[Status],"No Show")</f>
        <v>9</v>
      </c>
      <c r="L95" s="9">
        <f>Table4[[#This Row],[Num_No shows]]/100</f>
        <v>0.09</v>
      </c>
      <c r="M95">
        <f>IF(Table4[[#This Row],[Status]]="No Show",1,0)</f>
        <v>0</v>
      </c>
    </row>
    <row r="96" spans="1:13" x14ac:dyDescent="0.3">
      <c r="A96" t="s">
        <v>210</v>
      </c>
      <c r="B96" s="2">
        <v>45682</v>
      </c>
      <c r="C96" t="s">
        <v>211</v>
      </c>
      <c r="D96" t="s">
        <v>10</v>
      </c>
      <c r="E96" t="s">
        <v>11</v>
      </c>
      <c r="F96" t="s">
        <v>37</v>
      </c>
      <c r="G96">
        <v>25000</v>
      </c>
      <c r="H96" t="s">
        <v>13</v>
      </c>
      <c r="I96">
        <f>IF(Table4[[#This Row],[Status]]="Completed",Table4[[#This Row],[Fee]],0)</f>
        <v>25000</v>
      </c>
      <c r="J96" s="5">
        <f>SUM(Table4[Revenue])</f>
        <v>432600</v>
      </c>
      <c r="K96">
        <f>COUNTIFS(Table4[Status],"No Show")</f>
        <v>9</v>
      </c>
      <c r="L96" s="9">
        <f>Table4[[#This Row],[Num_No shows]]/100</f>
        <v>0.09</v>
      </c>
      <c r="M96">
        <f>IF(Table4[[#This Row],[Status]]="No Show",1,0)</f>
        <v>0</v>
      </c>
    </row>
    <row r="97" spans="1:13" x14ac:dyDescent="0.3">
      <c r="A97" t="s">
        <v>212</v>
      </c>
      <c r="B97" s="2">
        <v>45682</v>
      </c>
      <c r="C97" t="s">
        <v>213</v>
      </c>
      <c r="D97" t="s">
        <v>22</v>
      </c>
      <c r="E97" t="s">
        <v>23</v>
      </c>
      <c r="F97" t="s">
        <v>18</v>
      </c>
      <c r="G97">
        <v>600</v>
      </c>
      <c r="H97" t="s">
        <v>13</v>
      </c>
      <c r="I97">
        <f>IF(Table4[[#This Row],[Status]]="Completed",Table4[[#This Row],[Fee]],0)</f>
        <v>600</v>
      </c>
      <c r="J97" s="5">
        <f>SUM(Table4[Revenue])</f>
        <v>432600</v>
      </c>
      <c r="K97">
        <f>COUNTIFS(Table4[Status],"No Show")</f>
        <v>9</v>
      </c>
      <c r="L97" s="9">
        <f>Table4[[#This Row],[Num_No shows]]/100</f>
        <v>0.09</v>
      </c>
      <c r="M97">
        <f>IF(Table4[[#This Row],[Status]]="No Show",1,0)</f>
        <v>0</v>
      </c>
    </row>
    <row r="98" spans="1:13" x14ac:dyDescent="0.3">
      <c r="A98" t="s">
        <v>214</v>
      </c>
      <c r="B98" s="2">
        <v>45682</v>
      </c>
      <c r="C98" t="s">
        <v>215</v>
      </c>
      <c r="D98" t="s">
        <v>16</v>
      </c>
      <c r="E98" t="s">
        <v>17</v>
      </c>
      <c r="F98" t="s">
        <v>12</v>
      </c>
      <c r="G98">
        <v>700</v>
      </c>
      <c r="H98" t="s">
        <v>13</v>
      </c>
      <c r="I98">
        <f>IF(Table4[[#This Row],[Status]]="Completed",Table4[[#This Row],[Fee]],0)</f>
        <v>700</v>
      </c>
      <c r="J98" s="5">
        <f>SUM(Table4[Revenue])</f>
        <v>432600</v>
      </c>
      <c r="K98">
        <f>COUNTIFS(Table4[Status],"No Show")</f>
        <v>9</v>
      </c>
      <c r="L98" s="9">
        <f>Table4[[#This Row],[Num_No shows]]/100</f>
        <v>0.09</v>
      </c>
      <c r="M98">
        <f>IF(Table4[[#This Row],[Status]]="No Show",1,0)</f>
        <v>0</v>
      </c>
    </row>
    <row r="99" spans="1:13" x14ac:dyDescent="0.3">
      <c r="A99" t="s">
        <v>216</v>
      </c>
      <c r="B99" s="2">
        <v>45682</v>
      </c>
      <c r="C99" t="s">
        <v>217</v>
      </c>
      <c r="D99" t="s">
        <v>30</v>
      </c>
      <c r="E99" t="s">
        <v>31</v>
      </c>
      <c r="F99" t="s">
        <v>18</v>
      </c>
      <c r="G99">
        <v>300</v>
      </c>
      <c r="H99" t="s">
        <v>13</v>
      </c>
      <c r="I99">
        <f>IF(Table4[[#This Row],[Status]]="Completed",Table4[[#This Row],[Fee]],0)</f>
        <v>300</v>
      </c>
      <c r="J99" s="5">
        <f>SUM(Table4[Revenue])</f>
        <v>432600</v>
      </c>
      <c r="K99">
        <f>COUNTIFS(Table4[Status],"No Show")</f>
        <v>9</v>
      </c>
      <c r="L99" s="9">
        <f>Table4[[#This Row],[Num_No shows]]/100</f>
        <v>0.09</v>
      </c>
      <c r="M99">
        <f>IF(Table4[[#This Row],[Status]]="No Show",1,0)</f>
        <v>0</v>
      </c>
    </row>
    <row r="100" spans="1:13" x14ac:dyDescent="0.3">
      <c r="A100" t="s">
        <v>218</v>
      </c>
      <c r="B100" s="2">
        <v>45683</v>
      </c>
      <c r="C100" t="s">
        <v>219</v>
      </c>
      <c r="D100" t="s">
        <v>10</v>
      </c>
      <c r="E100" t="s">
        <v>11</v>
      </c>
      <c r="F100" t="s">
        <v>12</v>
      </c>
      <c r="G100">
        <v>800</v>
      </c>
      <c r="H100" t="s">
        <v>19</v>
      </c>
      <c r="I100">
        <f>IF(Table4[[#This Row],[Status]]="Completed",Table4[[#This Row],[Fee]],0)</f>
        <v>0</v>
      </c>
      <c r="J100" s="5">
        <f>SUM(Table4[Revenue])</f>
        <v>432600</v>
      </c>
      <c r="K100">
        <f>COUNTIFS(Table4[Status],"No Show")</f>
        <v>9</v>
      </c>
      <c r="L100" s="9">
        <f>Table4[[#This Row],[Num_No shows]]/100</f>
        <v>0.09</v>
      </c>
      <c r="M100">
        <f>IF(Table4[[#This Row],[Status]]="No Show",1,0)</f>
        <v>1</v>
      </c>
    </row>
    <row r="101" spans="1:13" x14ac:dyDescent="0.3">
      <c r="A101" t="s">
        <v>220</v>
      </c>
      <c r="B101" s="2">
        <v>45683</v>
      </c>
      <c r="C101" t="s">
        <v>221</v>
      </c>
      <c r="D101" t="s">
        <v>22</v>
      </c>
      <c r="E101" t="s">
        <v>23</v>
      </c>
      <c r="F101" t="s">
        <v>37</v>
      </c>
      <c r="G101">
        <v>22000</v>
      </c>
      <c r="H101" t="s">
        <v>13</v>
      </c>
      <c r="I101">
        <f>IF(Table4[[#This Row],[Status]]="Completed",Table4[[#This Row],[Fee]],0)</f>
        <v>22000</v>
      </c>
      <c r="J101" s="5">
        <f>SUM(Table4[Revenue])</f>
        <v>432600</v>
      </c>
      <c r="K101">
        <f>COUNTIFS(Table4[Status],"No Show")</f>
        <v>9</v>
      </c>
      <c r="L101" s="9">
        <f>Table4[[#This Row],[Num_No shows]]/100</f>
        <v>0.09</v>
      </c>
      <c r="M101">
        <f>IF(Table4[[#This Row],[Status]]="No Show",1,0)</f>
        <v>0</v>
      </c>
    </row>
    <row r="102" spans="1:13" x14ac:dyDescent="0.3">
      <c r="B102" s="2"/>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E66CD-A18E-4CE9-A55B-0E2BED8198BE}">
  <dimension ref="B4:J51"/>
  <sheetViews>
    <sheetView topLeftCell="A20" workbookViewId="0">
      <selection activeCell="C31" sqref="C31"/>
    </sheetView>
  </sheetViews>
  <sheetFormatPr defaultRowHeight="14.4" x14ac:dyDescent="0.3"/>
  <cols>
    <col min="2" max="2" width="10.77734375" bestFit="1" customWidth="1"/>
    <col min="3" max="4" width="15.88671875" bestFit="1" customWidth="1"/>
    <col min="5" max="5" width="15.5546875" bestFit="1" customWidth="1"/>
    <col min="6" max="6" width="10.21875" bestFit="1" customWidth="1"/>
    <col min="7" max="7" width="8.5546875" bestFit="1" customWidth="1"/>
    <col min="8" max="8" width="10.77734375" bestFit="1" customWidth="1"/>
    <col min="9" max="9" width="12.5546875" bestFit="1" customWidth="1"/>
    <col min="10" max="10" width="17.88671875" bestFit="1" customWidth="1"/>
    <col min="11" max="11" width="23.109375" bestFit="1" customWidth="1"/>
  </cols>
  <sheetData>
    <row r="4" spans="2:8" x14ac:dyDescent="0.3">
      <c r="B4" s="3" t="s">
        <v>222</v>
      </c>
      <c r="C4" t="s">
        <v>226</v>
      </c>
      <c r="G4" s="3" t="s">
        <v>222</v>
      </c>
      <c r="H4" t="s">
        <v>229</v>
      </c>
    </row>
    <row r="5" spans="2:8" x14ac:dyDescent="0.3">
      <c r="B5" s="4" t="s">
        <v>11</v>
      </c>
      <c r="C5" s="7">
        <v>168300</v>
      </c>
      <c r="G5" s="4" t="s">
        <v>16</v>
      </c>
      <c r="H5">
        <v>25</v>
      </c>
    </row>
    <row r="6" spans="2:8" x14ac:dyDescent="0.3">
      <c r="B6" s="4" t="s">
        <v>31</v>
      </c>
      <c r="C6" s="7">
        <v>9200</v>
      </c>
      <c r="G6" s="4" t="s">
        <v>10</v>
      </c>
      <c r="H6">
        <v>26</v>
      </c>
    </row>
    <row r="7" spans="2:8" x14ac:dyDescent="0.3">
      <c r="B7" s="4" t="s">
        <v>23</v>
      </c>
      <c r="C7" s="7">
        <v>149000</v>
      </c>
      <c r="G7" s="4" t="s">
        <v>30</v>
      </c>
      <c r="H7">
        <v>24</v>
      </c>
    </row>
    <row r="8" spans="2:8" x14ac:dyDescent="0.3">
      <c r="B8" s="4" t="s">
        <v>17</v>
      </c>
      <c r="C8" s="7">
        <v>106100</v>
      </c>
      <c r="G8" s="4" t="s">
        <v>22</v>
      </c>
      <c r="H8">
        <v>25</v>
      </c>
    </row>
    <row r="9" spans="2:8" x14ac:dyDescent="0.3">
      <c r="B9" s="4" t="s">
        <v>223</v>
      </c>
      <c r="C9" s="7">
        <v>432600</v>
      </c>
      <c r="G9" s="4" t="s">
        <v>223</v>
      </c>
      <c r="H9">
        <v>100</v>
      </c>
    </row>
    <row r="14" spans="2:8" x14ac:dyDescent="0.3">
      <c r="D14" s="3" t="s">
        <v>227</v>
      </c>
      <c r="E14" s="3" t="s">
        <v>228</v>
      </c>
    </row>
    <row r="15" spans="2:8" x14ac:dyDescent="0.3">
      <c r="D15" s="3" t="s">
        <v>4</v>
      </c>
      <c r="E15" t="s">
        <v>34</v>
      </c>
      <c r="F15" t="s">
        <v>13</v>
      </c>
      <c r="G15" t="s">
        <v>19</v>
      </c>
      <c r="H15" t="s">
        <v>223</v>
      </c>
    </row>
    <row r="16" spans="2:8" x14ac:dyDescent="0.3">
      <c r="D16" s="4" t="s">
        <v>11</v>
      </c>
      <c r="F16">
        <v>24</v>
      </c>
      <c r="G16">
        <v>2</v>
      </c>
      <c r="H16">
        <v>26</v>
      </c>
    </row>
    <row r="17" spans="2:10" x14ac:dyDescent="0.3">
      <c r="D17" s="4" t="s">
        <v>31</v>
      </c>
      <c r="E17">
        <v>2</v>
      </c>
      <c r="F17">
        <v>22</v>
      </c>
      <c r="H17">
        <v>24</v>
      </c>
    </row>
    <row r="18" spans="2:10" x14ac:dyDescent="0.3">
      <c r="D18" s="4" t="s">
        <v>23</v>
      </c>
      <c r="E18">
        <v>3</v>
      </c>
      <c r="F18">
        <v>20</v>
      </c>
      <c r="G18">
        <v>2</v>
      </c>
      <c r="H18">
        <v>25</v>
      </c>
    </row>
    <row r="19" spans="2:10" x14ac:dyDescent="0.3">
      <c r="D19" s="4" t="s">
        <v>17</v>
      </c>
      <c r="F19">
        <v>20</v>
      </c>
      <c r="G19">
        <v>5</v>
      </c>
      <c r="H19">
        <v>25</v>
      </c>
    </row>
    <row r="20" spans="2:10" x14ac:dyDescent="0.3">
      <c r="D20" s="4" t="s">
        <v>223</v>
      </c>
      <c r="E20">
        <v>5</v>
      </c>
      <c r="F20">
        <v>86</v>
      </c>
      <c r="G20">
        <v>9</v>
      </c>
      <c r="H20">
        <v>100</v>
      </c>
      <c r="I20" s="9"/>
    </row>
    <row r="24" spans="2:10" x14ac:dyDescent="0.3">
      <c r="B24" s="3" t="s">
        <v>1</v>
      </c>
      <c r="C24" t="s">
        <v>234</v>
      </c>
    </row>
    <row r="25" spans="2:10" x14ac:dyDescent="0.3">
      <c r="B25" s="8">
        <v>45658</v>
      </c>
      <c r="C25">
        <v>1800</v>
      </c>
    </row>
    <row r="26" spans="2:10" x14ac:dyDescent="0.3">
      <c r="B26" s="8">
        <v>45659</v>
      </c>
      <c r="C26">
        <v>1600</v>
      </c>
    </row>
    <row r="27" spans="2:10" x14ac:dyDescent="0.3">
      <c r="B27" s="8">
        <v>45660</v>
      </c>
      <c r="C27">
        <v>35300</v>
      </c>
      <c r="I27" s="3" t="s">
        <v>222</v>
      </c>
      <c r="J27" t="s">
        <v>229</v>
      </c>
    </row>
    <row r="28" spans="2:10" x14ac:dyDescent="0.3">
      <c r="B28" s="8">
        <v>45661</v>
      </c>
      <c r="C28">
        <v>2000</v>
      </c>
      <c r="I28" s="4" t="s">
        <v>34</v>
      </c>
      <c r="J28">
        <v>5</v>
      </c>
    </row>
    <row r="29" spans="2:10" x14ac:dyDescent="0.3">
      <c r="B29" s="8">
        <v>45662</v>
      </c>
      <c r="C29">
        <v>19100</v>
      </c>
      <c r="I29" s="4" t="s">
        <v>13</v>
      </c>
      <c r="J29">
        <v>86</v>
      </c>
    </row>
    <row r="30" spans="2:10" x14ac:dyDescent="0.3">
      <c r="B30" s="8">
        <v>45663</v>
      </c>
      <c r="C30">
        <v>2100</v>
      </c>
      <c r="I30" s="4" t="s">
        <v>19</v>
      </c>
      <c r="J30">
        <v>9</v>
      </c>
    </row>
    <row r="31" spans="2:10" x14ac:dyDescent="0.3">
      <c r="B31" s="8">
        <v>45664</v>
      </c>
      <c r="C31">
        <v>23600</v>
      </c>
      <c r="I31" s="4" t="s">
        <v>223</v>
      </c>
      <c r="J31">
        <v>100</v>
      </c>
    </row>
    <row r="32" spans="2:10" x14ac:dyDescent="0.3">
      <c r="B32" s="8">
        <v>45665</v>
      </c>
      <c r="C32">
        <v>17100</v>
      </c>
    </row>
    <row r="33" spans="2:3" x14ac:dyDescent="0.3">
      <c r="B33" s="8">
        <v>45666</v>
      </c>
      <c r="C33">
        <v>20600</v>
      </c>
    </row>
    <row r="34" spans="2:3" x14ac:dyDescent="0.3">
      <c r="B34" s="8">
        <v>45667</v>
      </c>
      <c r="C34">
        <v>1800</v>
      </c>
    </row>
    <row r="35" spans="2:3" x14ac:dyDescent="0.3">
      <c r="B35" s="8">
        <v>45668</v>
      </c>
      <c r="C35">
        <v>22300</v>
      </c>
    </row>
    <row r="36" spans="2:3" x14ac:dyDescent="0.3">
      <c r="B36" s="8">
        <v>45669</v>
      </c>
      <c r="C36">
        <v>21800</v>
      </c>
    </row>
    <row r="37" spans="2:3" x14ac:dyDescent="0.3">
      <c r="B37" s="8">
        <v>45670</v>
      </c>
      <c r="C37">
        <v>16900</v>
      </c>
    </row>
    <row r="38" spans="2:3" x14ac:dyDescent="0.3">
      <c r="B38" s="8">
        <v>45671</v>
      </c>
      <c r="C38">
        <v>2400</v>
      </c>
    </row>
    <row r="39" spans="2:3" x14ac:dyDescent="0.3">
      <c r="B39" s="8">
        <v>45672</v>
      </c>
      <c r="C39">
        <v>24000</v>
      </c>
    </row>
    <row r="40" spans="2:3" x14ac:dyDescent="0.3">
      <c r="B40" s="8">
        <v>45673</v>
      </c>
      <c r="C40">
        <v>20100</v>
      </c>
    </row>
    <row r="41" spans="2:3" x14ac:dyDescent="0.3">
      <c r="B41" s="8">
        <v>45674</v>
      </c>
      <c r="C41">
        <v>18700</v>
      </c>
    </row>
    <row r="42" spans="2:3" x14ac:dyDescent="0.3">
      <c r="B42" s="8">
        <v>45675</v>
      </c>
      <c r="C42">
        <v>24000</v>
      </c>
    </row>
    <row r="43" spans="2:3" x14ac:dyDescent="0.3">
      <c r="B43" s="8">
        <v>45676</v>
      </c>
      <c r="C43">
        <v>20900</v>
      </c>
    </row>
    <row r="44" spans="2:3" x14ac:dyDescent="0.3">
      <c r="B44" s="8">
        <v>45677</v>
      </c>
      <c r="C44">
        <v>1800</v>
      </c>
    </row>
    <row r="45" spans="2:3" x14ac:dyDescent="0.3">
      <c r="B45" s="8">
        <v>45678</v>
      </c>
      <c r="C45">
        <v>42000</v>
      </c>
    </row>
    <row r="46" spans="2:3" x14ac:dyDescent="0.3">
      <c r="B46" s="8">
        <v>45679</v>
      </c>
      <c r="C46">
        <v>1900</v>
      </c>
    </row>
    <row r="47" spans="2:3" x14ac:dyDescent="0.3">
      <c r="B47" s="8">
        <v>45680</v>
      </c>
      <c r="C47">
        <v>22400</v>
      </c>
    </row>
    <row r="48" spans="2:3" x14ac:dyDescent="0.3">
      <c r="B48" s="8">
        <v>45681</v>
      </c>
      <c r="C48">
        <v>19800</v>
      </c>
    </row>
    <row r="49" spans="2:3" x14ac:dyDescent="0.3">
      <c r="B49" s="8">
        <v>45682</v>
      </c>
      <c r="C49">
        <v>26600</v>
      </c>
    </row>
    <row r="50" spans="2:3" x14ac:dyDescent="0.3">
      <c r="B50" s="8">
        <v>45683</v>
      </c>
      <c r="C50">
        <v>22000</v>
      </c>
    </row>
    <row r="51" spans="2:3" x14ac:dyDescent="0.3">
      <c r="B51" s="8" t="s">
        <v>223</v>
      </c>
      <c r="C51">
        <v>432600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C9623-7E0F-498C-895E-45CA1958E834}">
  <dimension ref="A1:AH35"/>
  <sheetViews>
    <sheetView tabSelected="1" zoomScaleNormal="100" workbookViewId="0">
      <selection sqref="A1:T2"/>
    </sheetView>
  </sheetViews>
  <sheetFormatPr defaultRowHeight="14.4" x14ac:dyDescent="0.3"/>
  <cols>
    <col min="9" max="9" width="8.88671875" customWidth="1"/>
    <col min="10" max="10" width="9" customWidth="1"/>
  </cols>
  <sheetData>
    <row r="1" spans="1:34" ht="14.4" customHeight="1" x14ac:dyDescent="0.3">
      <c r="A1" s="12" t="s">
        <v>233</v>
      </c>
      <c r="B1" s="12"/>
      <c r="C1" s="12"/>
      <c r="D1" s="12"/>
      <c r="E1" s="12"/>
      <c r="F1" s="12"/>
      <c r="G1" s="12"/>
      <c r="H1" s="12"/>
      <c r="I1" s="12"/>
      <c r="J1" s="12"/>
      <c r="K1" s="12"/>
      <c r="L1" s="12"/>
      <c r="M1" s="12"/>
      <c r="N1" s="12"/>
      <c r="O1" s="12"/>
      <c r="P1" s="12"/>
      <c r="Q1" s="12"/>
      <c r="R1" s="12"/>
      <c r="S1" s="12"/>
      <c r="T1" s="12"/>
      <c r="U1" s="10"/>
      <c r="V1" s="11"/>
      <c r="W1" s="11"/>
      <c r="X1" s="11"/>
      <c r="Y1" s="11"/>
      <c r="Z1" s="11"/>
      <c r="AA1" s="11"/>
      <c r="AB1" s="11"/>
      <c r="AC1" s="11"/>
      <c r="AD1" s="11"/>
      <c r="AE1" s="11"/>
      <c r="AF1" s="11"/>
      <c r="AG1" s="11"/>
      <c r="AH1" s="11"/>
    </row>
    <row r="2" spans="1:34" x14ac:dyDescent="0.3">
      <c r="A2" s="12"/>
      <c r="B2" s="12"/>
      <c r="C2" s="12"/>
      <c r="D2" s="12"/>
      <c r="E2" s="12"/>
      <c r="F2" s="12"/>
      <c r="G2" s="12"/>
      <c r="H2" s="12"/>
      <c r="I2" s="12"/>
      <c r="J2" s="12"/>
      <c r="K2" s="12"/>
      <c r="L2" s="12"/>
      <c r="M2" s="12"/>
      <c r="N2" s="12"/>
      <c r="O2" s="12"/>
      <c r="P2" s="12"/>
      <c r="Q2" s="12"/>
      <c r="R2" s="12"/>
      <c r="S2" s="12"/>
      <c r="T2" s="12"/>
      <c r="U2" s="11"/>
      <c r="V2" s="11"/>
      <c r="W2" s="11"/>
      <c r="X2" s="11"/>
      <c r="Y2" s="11"/>
      <c r="Z2" s="11"/>
      <c r="AA2" s="11"/>
      <c r="AB2" s="11"/>
      <c r="AC2" s="11"/>
      <c r="AD2" s="11"/>
      <c r="AE2" s="11"/>
      <c r="AF2" s="11"/>
      <c r="AG2" s="11"/>
      <c r="AH2" s="11"/>
    </row>
    <row r="35" spans="7:19" ht="23.4" x14ac:dyDescent="0.45">
      <c r="G35" s="13" t="s">
        <v>235</v>
      </c>
      <c r="H35" s="13"/>
      <c r="I35" s="13"/>
      <c r="J35" s="13"/>
      <c r="K35" s="13"/>
      <c r="L35" s="13"/>
      <c r="M35" s="13"/>
      <c r="N35" s="13"/>
      <c r="O35" s="13"/>
      <c r="P35" s="13"/>
      <c r="Q35" s="13"/>
      <c r="R35" s="13"/>
      <c r="S35" s="13"/>
    </row>
  </sheetData>
  <mergeCells count="3">
    <mergeCell ref="U1:AH2"/>
    <mergeCell ref="A1:T2"/>
    <mergeCell ref="G35:S35"/>
  </mergeCells>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 Naga Santhoshi</dc:creator>
  <cp:lastModifiedBy>Hema Naga Santhoshi</cp:lastModifiedBy>
  <dcterms:created xsi:type="dcterms:W3CDTF">2026-01-31T12:19:11Z</dcterms:created>
  <dcterms:modified xsi:type="dcterms:W3CDTF">2026-02-11T18:57:57Z</dcterms:modified>
</cp:coreProperties>
</file>